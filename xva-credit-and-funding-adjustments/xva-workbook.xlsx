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5" activeTab="6" autoFilterDateGrouping="1"/>
  </bookViews>
  <sheets>
    <sheet name="Datos de Mercado" sheetId="1" state="visible" r:id="rId1"/>
    <sheet name="Deals" sheetId="2" state="visible" r:id="rId2"/>
    <sheet name="Sin Netting" sheetId="3" state="visible" r:id="rId3"/>
    <sheet name="Con Netting" sheetId="4" state="visible" r:id="rId4"/>
    <sheet name="Set 3" sheetId="5" state="visible" r:id="rId5"/>
    <sheet name="Set 4" sheetId="6" state="visible" r:id="rId6"/>
    <sheet name="Resultados Finales" sheetId="7" state="visible" r:id="rId7"/>
    <sheet name="Set 5" sheetId="8" state="visible" r:id="rId8"/>
    <sheet name="FVA" sheetId="9" state="visible" r:id="rId9"/>
  </sheets>
  <definedNames/>
  <calcPr calcId="191028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d/m/yyyy"/>
    <numFmt numFmtId="166" formatCode="0.000"/>
    <numFmt numFmtId="167" formatCode="yyyy-mm-dd h:mm:ss"/>
  </numFmts>
  <fonts count="7">
    <font>
      <name val="Calibri"/>
      <color theme="1"/>
      <sz val="11"/>
      <scheme val="minor"/>
    </font>
    <font>
      <name val="Calibri"/>
      <color theme="1"/>
      <sz val="11"/>
    </font>
    <font>
      <name val="Calibri"/>
      <color theme="1"/>
      <sz val="11"/>
      <scheme val="minor"/>
    </font>
    <font>
      <name val="Calibri"/>
      <color theme="1"/>
      <sz val="11"/>
      <u val="single"/>
      <scheme val="minor"/>
    </font>
    <font>
      <name val="Calibri"/>
      <color rgb="FF000000"/>
      <sz val="11"/>
    </font>
    <font>
      <b val="1"/>
      <color rgb="001F3864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4" fontId="1" fillId="0" borderId="0" pivotButton="0" quotePrefix="0" xfId="0"/>
    <xf numFmtId="164" fontId="0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2" fontId="4" fillId="0" borderId="0" pivotButton="0" quotePrefix="0" xfId="0"/>
    <xf numFmtId="0" fontId="0" fillId="0" borderId="0" applyAlignment="1" pivotButton="0" quotePrefix="0" xfId="0">
      <alignment wrapText="1"/>
    </xf>
    <xf numFmtId="166" fontId="1" fillId="0" borderId="0" pivotButton="0" quotePrefix="0" xfId="0"/>
    <xf numFmtId="0" fontId="0" fillId="2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5" fontId="1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65"/>
  <sheetViews>
    <sheetView workbookViewId="0">
      <selection activeCell="B14" sqref="B14"/>
    </sheetView>
  </sheetViews>
  <sheetFormatPr baseColWidth="8" defaultColWidth="14.42578125" defaultRowHeight="15" customHeight="1"/>
  <cols>
    <col width="101.140625" customWidth="1" min="1" max="1"/>
    <col width="10.7109375" customWidth="1" min="2" max="5"/>
    <col width="10.28515625" customWidth="1" min="6" max="6"/>
    <col width="10.7109375" customWidth="1" min="7" max="8"/>
    <col width="8.7109375" customWidth="1" min="9" max="26"/>
  </cols>
  <sheetData>
    <row r="1" ht="14.25" customHeight="1"/>
    <row r="2" ht="14.25" customHeight="1">
      <c r="A2" s="5" t="inlineStr">
        <is>
          <t>Factores descuento Euro (Cada celda contiene el valor de descuento simulado DF(to,tj,wi)</t>
        </is>
      </c>
    </row>
    <row r="3" ht="14.25" customHeight="1">
      <c r="A3" t="inlineStr">
        <is>
          <t>FECHA</t>
        </is>
      </c>
      <c r="B3" s="19" t="n">
        <v>46023</v>
      </c>
      <c r="C3" s="19" t="n">
        <v>46054</v>
      </c>
      <c r="D3" s="19" t="n">
        <v>46082</v>
      </c>
      <c r="E3" s="19" t="n">
        <v>46113</v>
      </c>
      <c r="F3" s="19" t="n">
        <v>46143</v>
      </c>
      <c r="G3" s="19" t="n">
        <v>46174</v>
      </c>
      <c r="H3" s="19" t="n">
        <v>46204</v>
      </c>
    </row>
    <row r="4" ht="14.25" customHeight="1">
      <c r="A4" s="2" t="inlineStr">
        <is>
          <t>path 0</t>
        </is>
      </c>
      <c r="B4" s="20" t="n">
        <v>1</v>
      </c>
      <c r="C4" s="20" t="n">
        <v>0.995</v>
      </c>
      <c r="D4" s="20" t="n">
        <v>0.98</v>
      </c>
      <c r="E4" s="20" t="n">
        <v>0.975</v>
      </c>
      <c r="F4" s="20" t="n">
        <v>0.972</v>
      </c>
      <c r="G4" s="20" t="n">
        <v>0.96</v>
      </c>
      <c r="H4" s="20" t="n">
        <v>0.95</v>
      </c>
    </row>
    <row r="5" ht="14.25" customHeight="1">
      <c r="A5" s="2" t="inlineStr">
        <is>
          <t>path 1</t>
        </is>
      </c>
      <c r="B5" s="20" t="n">
        <v>1</v>
      </c>
      <c r="C5" s="20" t="n">
        <v>0.991</v>
      </c>
      <c r="D5" s="20" t="n">
        <v>0.983</v>
      </c>
      <c r="E5" s="20" t="n">
        <v>0.976</v>
      </c>
      <c r="F5" s="20" t="n">
        <v>0.971</v>
      </c>
      <c r="G5" s="20" t="n">
        <v>0.957</v>
      </c>
      <c r="H5" s="20" t="n">
        <v>0.9399999999999999</v>
      </c>
    </row>
    <row r="6" ht="14.25" customHeight="1">
      <c r="A6" s="2" t="inlineStr">
        <is>
          <t>path 2</t>
        </is>
      </c>
      <c r="B6" s="20" t="n">
        <v>1</v>
      </c>
      <c r="C6" s="20" t="n">
        <v>0.996</v>
      </c>
      <c r="D6" s="20" t="n">
        <v>0.984</v>
      </c>
      <c r="E6" s="20" t="n">
        <v>0.98</v>
      </c>
      <c r="F6" s="20" t="n">
        <v>0.975</v>
      </c>
      <c r="G6" s="20" t="n">
        <v>0.964</v>
      </c>
      <c r="H6" s="20" t="n">
        <v>0.961</v>
      </c>
    </row>
    <row r="7" ht="14.25" customHeight="1">
      <c r="A7" s="2" t="inlineStr">
        <is>
          <t>path 3</t>
        </is>
      </c>
      <c r="B7" s="20" t="n">
        <v>1</v>
      </c>
      <c r="C7" s="20" t="n">
        <v>0.994</v>
      </c>
      <c r="D7" s="20" t="n">
        <v>0.98</v>
      </c>
      <c r="E7" s="20" t="n">
        <v>0.976</v>
      </c>
      <c r="F7" s="20" t="n">
        <v>0.971</v>
      </c>
      <c r="G7" s="20" t="n">
        <v>0.954</v>
      </c>
      <c r="H7" s="20" t="n">
        <v>0.95</v>
      </c>
    </row>
    <row r="8" ht="14.25" customHeight="1">
      <c r="A8" s="2" t="inlineStr">
        <is>
          <t>path 4</t>
        </is>
      </c>
      <c r="B8" s="20" t="n">
        <v>1</v>
      </c>
      <c r="C8" s="20" t="n">
        <v>0.998</v>
      </c>
      <c r="D8" s="20" t="n">
        <v>0.99</v>
      </c>
      <c r="E8" s="20" t="n">
        <v>0.981</v>
      </c>
      <c r="F8" s="20" t="n">
        <v>0.968</v>
      </c>
      <c r="G8" s="20" t="n">
        <v>0.96</v>
      </c>
      <c r="H8" s="20" t="n">
        <v>0.951</v>
      </c>
    </row>
    <row r="9" ht="14.25" customHeight="1">
      <c r="A9" s="2" t="inlineStr">
        <is>
          <t>path 5</t>
        </is>
      </c>
      <c r="B9" s="20" t="n">
        <v>1</v>
      </c>
      <c r="C9" s="20" t="n">
        <v>0.999</v>
      </c>
      <c r="D9" s="20" t="n">
        <v>0.987</v>
      </c>
      <c r="E9" s="20" t="n">
        <v>0.981</v>
      </c>
      <c r="F9" s="20" t="n">
        <v>0.978</v>
      </c>
      <c r="G9" s="20" t="n">
        <v>0.971</v>
      </c>
      <c r="H9" s="20" t="n">
        <v>0.962</v>
      </c>
    </row>
    <row r="10" ht="14.25" customHeight="1"/>
    <row r="11" ht="14.25" customHeight="1">
      <c r="A11" s="5" t="inlineStr">
        <is>
          <t>Probabilidad de Supervivencia de A (La probabilidad calculada en t0 de que la empresa A sobreviva desde t0 hasta tj)</t>
        </is>
      </c>
    </row>
    <row r="12" ht="14.25" customHeight="1">
      <c r="A12" s="2" t="inlineStr">
        <is>
          <t>deterministica</t>
        </is>
      </c>
      <c r="B12" s="19" t="n">
        <v>46023</v>
      </c>
      <c r="C12" s="19" t="n">
        <v>46054</v>
      </c>
      <c r="D12" s="19" t="n">
        <v>46082</v>
      </c>
      <c r="E12" s="19" t="n">
        <v>46113</v>
      </c>
      <c r="F12" s="19" t="n">
        <v>46143</v>
      </c>
      <c r="G12" s="19" t="n">
        <v>46174</v>
      </c>
      <c r="H12" s="19" t="n">
        <v>46204</v>
      </c>
    </row>
    <row r="13" ht="14.25" customHeight="1">
      <c r="A13" s="2" t="inlineStr">
        <is>
          <t>para todos los paths</t>
        </is>
      </c>
      <c r="B13" s="20" t="n">
        <v>1</v>
      </c>
      <c r="C13" s="20" t="n">
        <v>0.98</v>
      </c>
      <c r="D13" s="20" t="n">
        <v>0.972</v>
      </c>
      <c r="E13" s="20" t="n">
        <v>0.958</v>
      </c>
      <c r="F13" s="20" t="n">
        <v>0.945</v>
      </c>
      <c r="G13" s="20" t="n">
        <v>0.93</v>
      </c>
      <c r="H13" s="20" t="n">
        <v>0.921</v>
      </c>
    </row>
    <row r="14" ht="14.25" customHeight="1">
      <c r="A14" s="2" t="inlineStr">
        <is>
          <t>Recovery A (Tasa de Recuperacion RA)</t>
        </is>
      </c>
      <c r="B14" s="20" t="n">
        <v>0.4</v>
      </c>
      <c r="C14" s="21" t="n"/>
      <c r="D14" s="21" t="n"/>
      <c r="E14" s="21" t="n"/>
      <c r="F14" s="21" t="n"/>
      <c r="G14" s="21" t="n"/>
      <c r="H14" s="21" t="n"/>
    </row>
    <row r="15" ht="14.25" customHeight="1"/>
    <row r="16" ht="14.25" customHeight="1">
      <c r="A16" s="2" t="inlineStr">
        <is>
          <t>Probabilidad de Supervivencia de B</t>
        </is>
      </c>
    </row>
    <row r="17" ht="14.25" customHeight="1">
      <c r="A17" s="2" t="inlineStr">
        <is>
          <t>deterministica</t>
        </is>
      </c>
      <c r="B17" s="19" t="n">
        <v>46023</v>
      </c>
      <c r="C17" s="19" t="n">
        <v>46054</v>
      </c>
      <c r="D17" s="19" t="n">
        <v>46082</v>
      </c>
      <c r="E17" s="19" t="n">
        <v>46113</v>
      </c>
      <c r="F17" s="19" t="n">
        <v>46143</v>
      </c>
      <c r="G17" s="19" t="n">
        <v>46174</v>
      </c>
      <c r="H17" s="19" t="n">
        <v>46204</v>
      </c>
    </row>
    <row r="18" ht="14.25" customHeight="1">
      <c r="A18" s="2" t="inlineStr">
        <is>
          <t>para todos los paths</t>
        </is>
      </c>
      <c r="B18" s="20" t="n">
        <v>1</v>
      </c>
      <c r="C18" s="20" t="n">
        <v>0.974</v>
      </c>
      <c r="D18" s="20" t="n">
        <v>0.964</v>
      </c>
      <c r="E18" s="20" t="n">
        <v>0.9399999999999999</v>
      </c>
      <c r="F18" s="20" t="n">
        <v>0.92</v>
      </c>
      <c r="G18" s="20" t="n">
        <v>0.9</v>
      </c>
      <c r="H18" s="20" t="n">
        <v>0.884</v>
      </c>
    </row>
    <row r="19" ht="14.25" customHeight="1">
      <c r="A19" s="2" t="inlineStr">
        <is>
          <t>Recovery B</t>
        </is>
      </c>
      <c r="B19" s="20" t="n">
        <v>0.55</v>
      </c>
      <c r="C19" s="21" t="n"/>
      <c r="D19" s="21" t="n"/>
      <c r="E19" s="21" t="n"/>
      <c r="F19" s="21" t="n"/>
      <c r="G19" s="21" t="n"/>
      <c r="H19" s="21" t="n"/>
    </row>
    <row r="20" ht="14.25" customHeight="1">
      <c r="B20" s="4" t="n"/>
      <c r="C20" s="4" t="n"/>
      <c r="D20" s="4" t="n"/>
      <c r="E20" s="4" t="n"/>
      <c r="F20" s="4" t="n"/>
      <c r="G20" s="4" t="n"/>
      <c r="H20" s="4" t="n"/>
    </row>
    <row r="21" ht="14.25" customHeight="1"/>
    <row r="22" ht="14.25" customHeight="1"/>
    <row r="23" ht="14.25" customHeight="1">
      <c r="A23" t="inlineStr">
        <is>
          <t>Probabilidades de Default A entre tj-1 y tj</t>
        </is>
      </c>
    </row>
    <row r="24" ht="14.25" customHeight="1">
      <c r="A24" t="inlineStr">
        <is>
          <t>FECHA</t>
        </is>
      </c>
      <c r="B24" s="19" t="n">
        <v>46023</v>
      </c>
      <c r="C24" s="19" t="n">
        <v>46054</v>
      </c>
      <c r="D24" s="19" t="n">
        <v>46082</v>
      </c>
      <c r="E24" s="19" t="n">
        <v>46113</v>
      </c>
      <c r="F24" s="19" t="n">
        <v>46143</v>
      </c>
      <c r="G24" s="19" t="n">
        <v>46174</v>
      </c>
      <c r="H24" s="19" t="n">
        <v>46204</v>
      </c>
    </row>
    <row r="25" ht="14.25" customHeight="1">
      <c r="B25" s="21" t="n">
        <v>0</v>
      </c>
      <c r="C25" s="21">
        <f>B13-C13</f>
        <v/>
      </c>
      <c r="D25" s="21">
        <f>C13-D13</f>
        <v/>
      </c>
      <c r="E25" s="21">
        <f>D13-E13</f>
        <v/>
      </c>
      <c r="F25" s="21">
        <f>E13-F13</f>
        <v/>
      </c>
      <c r="G25" s="21">
        <f>F13-G13</f>
        <v/>
      </c>
      <c r="H25" s="21">
        <f>G13-H13</f>
        <v/>
      </c>
    </row>
    <row r="26" ht="14.25" customHeight="1"/>
    <row r="27" ht="14.25" customHeight="1"/>
    <row r="28" ht="14.25" customHeight="1">
      <c r="A28" t="inlineStr">
        <is>
          <t>Probabilidades de Default B entre tj-1 y tj</t>
        </is>
      </c>
      <c r="B28" s="19" t="n">
        <v>46023</v>
      </c>
      <c r="C28" s="19" t="n">
        <v>46054</v>
      </c>
      <c r="D28" s="19" t="n">
        <v>46082</v>
      </c>
      <c r="E28" s="19" t="n">
        <v>46113</v>
      </c>
      <c r="F28" s="19" t="n">
        <v>46143</v>
      </c>
      <c r="G28" s="19" t="n">
        <v>46174</v>
      </c>
      <c r="H28" s="19" t="n">
        <v>46204</v>
      </c>
    </row>
    <row r="29" ht="14.25" customHeight="1">
      <c r="A29" t="inlineStr">
        <is>
          <t>FECHA</t>
        </is>
      </c>
      <c r="B29" t="n">
        <v>0</v>
      </c>
      <c r="C29" s="21">
        <f>B18-C18</f>
        <v/>
      </c>
      <c r="D29" s="21">
        <f>C18-D18</f>
        <v/>
      </c>
      <c r="E29" s="21">
        <f>D18-E18</f>
        <v/>
      </c>
      <c r="F29" s="21">
        <f>E18-F18</f>
        <v/>
      </c>
      <c r="G29" s="21">
        <f>F18-G18</f>
        <v/>
      </c>
      <c r="H29" s="21">
        <f>G18-H18</f>
        <v/>
      </c>
    </row>
    <row r="30" ht="14.25" customHeight="1"/>
    <row r="31" ht="14.25" customHeight="1"/>
    <row r="32" ht="14.25" customHeight="1"/>
    <row r="33" ht="14.25" customHeight="1">
      <c r="A33" s="11" t="n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>
      <c r="C55" t="inlineStr">
        <is>
          <t>=C45*(1 - $</t>
        </is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>
      <c r="C65" s="15" t="inlineStr">
        <is>
          <t>=C53*(1-'Datos de Mercado'!B19)*'</t>
        </is>
      </c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35"/>
  <sheetViews>
    <sheetView topLeftCell="A2" workbookViewId="0">
      <selection activeCell="B3" sqref="B3:H3"/>
    </sheetView>
  </sheetViews>
  <sheetFormatPr baseColWidth="8" defaultColWidth="14.42578125" defaultRowHeight="15" customHeight="1"/>
  <cols>
    <col width="54.5703125" customWidth="1" min="1" max="1"/>
    <col width="12.28515625" customWidth="1" min="2" max="8"/>
    <col width="8.7109375" customWidth="1" min="9" max="26"/>
  </cols>
  <sheetData>
    <row r="1" ht="14.25" customHeight="1"/>
    <row r="2" ht="14.25" customHeight="1">
      <c r="A2" s="15" t="inlineStr">
        <is>
          <t>Simulaciones del valor presente del derivado (RISK Free)</t>
        </is>
      </c>
    </row>
    <row r="3" ht="14.25" customHeight="1">
      <c r="A3" s="2" t="inlineStr">
        <is>
          <t>Deal1</t>
        </is>
      </c>
      <c r="B3" s="19" t="n">
        <v>46023</v>
      </c>
      <c r="C3" s="19" t="n">
        <v>46054</v>
      </c>
      <c r="D3" s="19" t="n">
        <v>46082</v>
      </c>
      <c r="E3" s="19" t="n">
        <v>46113</v>
      </c>
      <c r="F3" s="19" t="n">
        <v>46143</v>
      </c>
      <c r="G3" s="19" t="n">
        <v>46174</v>
      </c>
      <c r="H3" s="19" t="n">
        <v>46204</v>
      </c>
    </row>
    <row r="4" ht="14.25" customHeight="1">
      <c r="A4" s="2" t="inlineStr">
        <is>
          <t>path 0</t>
        </is>
      </c>
      <c r="B4" s="2" t="n">
        <v>1500000</v>
      </c>
      <c r="C4" s="2" t="n">
        <v>14000</v>
      </c>
      <c r="D4" s="2" t="n">
        <v>250000</v>
      </c>
      <c r="E4" s="2" t="n">
        <v>30500</v>
      </c>
      <c r="F4" s="2" t="n">
        <v>400000</v>
      </c>
      <c r="G4" s="2" t="n">
        <v>32000</v>
      </c>
      <c r="H4" s="2" t="n">
        <v>-15000</v>
      </c>
    </row>
    <row r="5" ht="14.25" customHeight="1">
      <c r="A5" s="2" t="inlineStr">
        <is>
          <t>path 1</t>
        </is>
      </c>
      <c r="B5" s="2" t="n">
        <v>1500000</v>
      </c>
      <c r="C5" s="2" t="n">
        <v>900000</v>
      </c>
      <c r="D5" s="2" t="n">
        <v>300000</v>
      </c>
      <c r="E5" s="2" t="n">
        <v>500000</v>
      </c>
      <c r="F5" s="2" t="n">
        <v>450000</v>
      </c>
      <c r="G5" s="2" t="n">
        <v>600000</v>
      </c>
      <c r="H5" s="2" t="n">
        <v>20500</v>
      </c>
    </row>
    <row r="6" ht="14.25" customHeight="1">
      <c r="A6" s="2" t="inlineStr">
        <is>
          <t>path 2</t>
        </is>
      </c>
      <c r="B6" s="2" t="n">
        <v>1500000</v>
      </c>
      <c r="C6" s="2" t="n">
        <v>2001500</v>
      </c>
      <c r="D6" s="2" t="n">
        <v>2100000</v>
      </c>
      <c r="E6" s="2" t="n">
        <v>1450000</v>
      </c>
      <c r="F6" s="2" t="n">
        <v>1800000</v>
      </c>
      <c r="G6" s="2" t="n">
        <v>900000</v>
      </c>
      <c r="H6" s="2" t="n">
        <v>350000</v>
      </c>
    </row>
    <row r="7" ht="14.25" customHeight="1">
      <c r="A7" s="2" t="inlineStr">
        <is>
          <t>path 3</t>
        </is>
      </c>
      <c r="B7" s="2" t="n">
        <v>1500000</v>
      </c>
      <c r="C7" s="2" t="n">
        <v>160000</v>
      </c>
      <c r="D7" s="2" t="n">
        <v>-55030</v>
      </c>
      <c r="E7" s="2" t="n">
        <v>15000</v>
      </c>
      <c r="F7" s="2" t="n">
        <v>-450000</v>
      </c>
      <c r="G7" s="2" t="n">
        <v>-10000</v>
      </c>
      <c r="H7" s="2" t="n">
        <v>30000</v>
      </c>
    </row>
    <row r="8" ht="14.25" customHeight="1">
      <c r="A8" s="2" t="inlineStr">
        <is>
          <t>path 4</t>
        </is>
      </c>
      <c r="B8" s="2" t="n">
        <v>1500000</v>
      </c>
      <c r="C8" s="2" t="n">
        <v>1600000</v>
      </c>
      <c r="D8" s="2" t="n">
        <v>1006000</v>
      </c>
      <c r="E8" s="2" t="n">
        <v>6000</v>
      </c>
      <c r="F8" s="2" t="n">
        <v>560000</v>
      </c>
      <c r="G8" s="2" t="n">
        <v>-10000</v>
      </c>
      <c r="H8" s="2" t="n">
        <v>-54000</v>
      </c>
    </row>
    <row r="9" ht="14.25" customHeight="1">
      <c r="A9" s="2" t="inlineStr">
        <is>
          <t>path 5</t>
        </is>
      </c>
      <c r="B9" s="2" t="n">
        <v>1500000</v>
      </c>
      <c r="C9" s="2" t="n">
        <v>-100300</v>
      </c>
      <c r="D9" s="2" t="n">
        <v>-250000</v>
      </c>
      <c r="E9" s="2" t="n">
        <v>-52000</v>
      </c>
      <c r="F9" s="2" t="n">
        <v>60000</v>
      </c>
      <c r="G9" s="2" t="n">
        <v>80000</v>
      </c>
      <c r="H9" s="2" t="n">
        <v>500000</v>
      </c>
    </row>
    <row r="10" ht="14.25" customHeight="1"/>
    <row r="11" ht="14.25" customHeight="1"/>
    <row r="12" ht="14.25" customHeight="1">
      <c r="A12" s="2" t="inlineStr">
        <is>
          <t>Deal2</t>
        </is>
      </c>
      <c r="B12" s="19" t="n">
        <v>46023</v>
      </c>
      <c r="C12" s="19" t="n">
        <v>46054</v>
      </c>
      <c r="D12" s="19" t="n">
        <v>46082</v>
      </c>
      <c r="E12" s="19" t="n">
        <v>46113</v>
      </c>
      <c r="F12" s="19" t="n">
        <v>46143</v>
      </c>
      <c r="G12" s="19" t="n">
        <v>46174</v>
      </c>
      <c r="H12" s="19" t="n">
        <v>46204</v>
      </c>
    </row>
    <row r="13" ht="14.25" customHeight="1">
      <c r="A13" s="2" t="inlineStr">
        <is>
          <t>path 0</t>
        </is>
      </c>
      <c r="B13" s="2" t="n">
        <v>-2500000</v>
      </c>
      <c r="C13" s="2" t="n">
        <v>-2100000</v>
      </c>
      <c r="D13" s="2" t="n">
        <v>-1000800</v>
      </c>
      <c r="E13" s="2" t="n">
        <v>-60000</v>
      </c>
      <c r="F13" s="2" t="n">
        <v>-85000</v>
      </c>
      <c r="G13" s="2" t="n">
        <v>10000</v>
      </c>
      <c r="H13" s="2" t="n">
        <v>35000</v>
      </c>
    </row>
    <row r="14" ht="14.25" customHeight="1">
      <c r="A14" s="2" t="inlineStr">
        <is>
          <t>path 1</t>
        </is>
      </c>
      <c r="B14" s="2" t="n">
        <v>-2500000</v>
      </c>
      <c r="C14" s="2" t="n">
        <v>-3000000</v>
      </c>
      <c r="D14" s="2" t="n">
        <v>-2581000</v>
      </c>
      <c r="E14" s="2" t="n">
        <v>-2780000</v>
      </c>
      <c r="F14" s="2" t="n">
        <v>-2500000</v>
      </c>
      <c r="G14" s="2" t="n">
        <v>-3000000</v>
      </c>
      <c r="H14" s="2" t="n">
        <v>-1500000</v>
      </c>
    </row>
    <row r="15" ht="14.25" customHeight="1">
      <c r="A15" s="2" t="inlineStr">
        <is>
          <t>path 2</t>
        </is>
      </c>
      <c r="B15" s="2" t="n">
        <v>-2500000</v>
      </c>
      <c r="C15" s="2" t="n">
        <v>-1500000</v>
      </c>
      <c r="D15" s="2" t="n">
        <v>-160000</v>
      </c>
      <c r="E15" s="2" t="n">
        <v>-30000</v>
      </c>
      <c r="F15" s="2" t="n">
        <v>56000</v>
      </c>
      <c r="G15" s="2" t="n">
        <v>120000</v>
      </c>
      <c r="H15" s="2" t="n">
        <v>-120000</v>
      </c>
    </row>
    <row r="16" ht="14.25" customHeight="1">
      <c r="A16" s="2" t="inlineStr">
        <is>
          <t>path 3</t>
        </is>
      </c>
      <c r="B16" s="2" t="n">
        <v>-2500000</v>
      </c>
      <c r="C16" s="2" t="n">
        <v>10000</v>
      </c>
      <c r="D16" s="2" t="n">
        <v>20050</v>
      </c>
      <c r="E16" s="2" t="n">
        <v>54000</v>
      </c>
      <c r="F16" s="2" t="n">
        <v>-54000</v>
      </c>
      <c r="G16" s="2" t="n">
        <v>-100000</v>
      </c>
      <c r="H16" s="2" t="n">
        <v>-560000</v>
      </c>
    </row>
    <row r="17" ht="14.25" customHeight="1">
      <c r="A17" s="2" t="inlineStr">
        <is>
          <t>path 4</t>
        </is>
      </c>
      <c r="B17" s="2" t="n">
        <v>-2500000</v>
      </c>
      <c r="C17" s="2" t="n">
        <v>-400100</v>
      </c>
      <c r="D17" s="2" t="n">
        <v>32000</v>
      </c>
      <c r="E17" s="2" t="n">
        <v>-50000</v>
      </c>
      <c r="F17" s="2" t="n">
        <v>86000</v>
      </c>
      <c r="G17" s="2" t="n">
        <v>250000</v>
      </c>
      <c r="H17" s="2" t="n">
        <v>30000</v>
      </c>
    </row>
    <row r="18" ht="14.25" customHeight="1">
      <c r="A18" s="2" t="inlineStr">
        <is>
          <t>path 5</t>
        </is>
      </c>
      <c r="B18" s="2" t="n">
        <v>-2500000</v>
      </c>
      <c r="C18" s="2" t="n">
        <v>-3500130</v>
      </c>
      <c r="D18" s="2" t="n">
        <v>-3100600</v>
      </c>
      <c r="E18" s="2" t="n">
        <v>-2500000</v>
      </c>
      <c r="F18" s="2" t="n">
        <v>-1000100</v>
      </c>
      <c r="G18" s="2" t="n">
        <v>-2500000</v>
      </c>
      <c r="H18" s="2" t="n">
        <v>-300000</v>
      </c>
    </row>
    <row r="19" ht="14.25" customHeight="1"/>
    <row r="20" ht="14.25" customHeight="1"/>
    <row r="21" ht="14.25" customHeight="1">
      <c r="A21" s="2" t="inlineStr">
        <is>
          <t>deal3</t>
        </is>
      </c>
      <c r="B21" s="19" t="n">
        <v>46023</v>
      </c>
      <c r="C21" s="19" t="n">
        <v>46054</v>
      </c>
      <c r="D21" s="19" t="n">
        <v>46082</v>
      </c>
      <c r="E21" s="19" t="n">
        <v>46113</v>
      </c>
      <c r="F21" s="19" t="n">
        <v>46143</v>
      </c>
      <c r="G21" s="19" t="n">
        <v>46174</v>
      </c>
      <c r="H21" s="19" t="n">
        <v>46204</v>
      </c>
    </row>
    <row r="22" ht="14.25" customHeight="1">
      <c r="A22" s="2" t="inlineStr">
        <is>
          <t>path 0</t>
        </is>
      </c>
      <c r="B22" s="2" t="n">
        <v>-1750000</v>
      </c>
      <c r="C22" s="2" t="n">
        <v>-500000</v>
      </c>
      <c r="D22" s="2" t="n">
        <v>-150000</v>
      </c>
      <c r="E22" s="2" t="n">
        <v>-80000</v>
      </c>
      <c r="F22" s="2" t="n">
        <v>0</v>
      </c>
    </row>
    <row r="23" ht="14.25" customHeight="1">
      <c r="A23" s="2" t="inlineStr">
        <is>
          <t>path 1</t>
        </is>
      </c>
      <c r="B23" s="2" t="n">
        <v>-1750000</v>
      </c>
      <c r="C23" s="2" t="n">
        <v>-600000</v>
      </c>
      <c r="D23" s="2" t="n">
        <v>-800000</v>
      </c>
      <c r="E23" s="2" t="n">
        <v>-980000</v>
      </c>
      <c r="F23" s="2" t="n">
        <v>0</v>
      </c>
    </row>
    <row r="24" ht="14.25" customHeight="1">
      <c r="A24" s="2" t="inlineStr">
        <is>
          <t>path 2</t>
        </is>
      </c>
      <c r="B24" s="2" t="n">
        <v>-1750000</v>
      </c>
      <c r="C24" s="2" t="n">
        <v>-3000000</v>
      </c>
      <c r="D24" s="2" t="n">
        <v>-2500000</v>
      </c>
      <c r="E24" s="2" t="n">
        <v>-1500000</v>
      </c>
      <c r="F24" s="2" t="n">
        <v>0</v>
      </c>
    </row>
    <row r="25" ht="14.25" customHeight="1">
      <c r="A25" s="2" t="inlineStr">
        <is>
          <t>path 3</t>
        </is>
      </c>
      <c r="B25" s="2" t="n">
        <v>-1750000</v>
      </c>
      <c r="C25" s="2" t="n">
        <v>-1600000</v>
      </c>
      <c r="D25" s="2" t="n">
        <v>-1050000</v>
      </c>
      <c r="E25" s="2" t="n">
        <v>-56000</v>
      </c>
      <c r="F25" s="2" t="n">
        <v>0</v>
      </c>
    </row>
    <row r="26" ht="14.25" customHeight="1">
      <c r="A26" s="2" t="inlineStr">
        <is>
          <t>path 4</t>
        </is>
      </c>
      <c r="B26" s="2" t="n">
        <v>-1750000</v>
      </c>
      <c r="C26" s="2" t="n">
        <v>-1800000</v>
      </c>
      <c r="D26" s="2" t="n">
        <v>-90800</v>
      </c>
      <c r="E26" s="2" t="n">
        <v>-1200000</v>
      </c>
      <c r="F26" s="2" t="n">
        <v>0</v>
      </c>
    </row>
    <row r="27" ht="14.25" customHeight="1">
      <c r="A27" s="2" t="inlineStr">
        <is>
          <t>path 5</t>
        </is>
      </c>
      <c r="B27" s="2" t="n">
        <v>-1750000</v>
      </c>
      <c r="C27" s="2" t="n">
        <v>10000</v>
      </c>
      <c r="D27" s="2" t="n">
        <v>300000</v>
      </c>
      <c r="E27" s="2" t="n">
        <v>30000</v>
      </c>
      <c r="F27" s="2" t="n">
        <v>0</v>
      </c>
    </row>
    <row r="28" ht="14.25" customHeight="1"/>
    <row r="29" ht="14.25" customHeight="1">
      <c r="A29" s="2" t="inlineStr">
        <is>
          <t>deal4</t>
        </is>
      </c>
      <c r="B29" s="19" t="n">
        <v>46023</v>
      </c>
      <c r="C29" s="19" t="n">
        <v>46054</v>
      </c>
      <c r="D29" s="19" t="n">
        <v>46082</v>
      </c>
      <c r="E29" s="19" t="n">
        <v>46113</v>
      </c>
      <c r="F29" s="19" t="n">
        <v>46143</v>
      </c>
      <c r="G29" s="19" t="n">
        <v>46174</v>
      </c>
      <c r="H29" s="19" t="n">
        <v>46204</v>
      </c>
    </row>
    <row r="30" ht="14.25" customHeight="1">
      <c r="A30" s="2" t="inlineStr">
        <is>
          <t>path 0</t>
        </is>
      </c>
      <c r="B30" s="2" t="n">
        <v>3000000</v>
      </c>
      <c r="C30" s="2" t="n">
        <v>2500000</v>
      </c>
      <c r="D30" s="2" t="n">
        <v>2100500</v>
      </c>
      <c r="E30" s="2" t="n">
        <v>0</v>
      </c>
    </row>
    <row r="31" ht="14.25" customHeight="1">
      <c r="A31" s="2" t="inlineStr">
        <is>
          <t>path 1</t>
        </is>
      </c>
      <c r="B31" s="2" t="n">
        <v>3000000</v>
      </c>
      <c r="C31" s="2" t="n">
        <v>3500000</v>
      </c>
      <c r="D31" s="2" t="n">
        <v>3200000</v>
      </c>
      <c r="E31" s="2" t="n">
        <v>0</v>
      </c>
    </row>
    <row r="32" ht="14.25" customHeight="1">
      <c r="A32" s="2" t="inlineStr">
        <is>
          <t>path 2</t>
        </is>
      </c>
      <c r="B32" s="2" t="n">
        <v>3000000</v>
      </c>
      <c r="C32" s="2" t="n">
        <v>1000000</v>
      </c>
      <c r="D32" s="2" t="n">
        <v>56000</v>
      </c>
      <c r="E32" s="2" t="n">
        <v>0</v>
      </c>
    </row>
    <row r="33" ht="14.25" customHeight="1">
      <c r="A33" s="2" t="inlineStr">
        <is>
          <t>path 3</t>
        </is>
      </c>
      <c r="B33" s="2" t="n">
        <v>3000000</v>
      </c>
      <c r="C33" s="2" t="n">
        <v>500000</v>
      </c>
      <c r="D33" s="2" t="n">
        <v>400000</v>
      </c>
      <c r="E33" s="2" t="n">
        <v>0</v>
      </c>
    </row>
    <row r="34" ht="14.25" customHeight="1">
      <c r="A34" s="2" t="inlineStr">
        <is>
          <t>path 4</t>
        </is>
      </c>
      <c r="B34" s="2" t="n">
        <v>3000000</v>
      </c>
      <c r="C34" s="2" t="n">
        <v>1500000</v>
      </c>
      <c r="D34" s="2" t="n">
        <v>2005000</v>
      </c>
      <c r="E34" s="2" t="n">
        <v>0</v>
      </c>
    </row>
    <row r="35" ht="14.25" customHeight="1">
      <c r="A35" s="2" t="inlineStr">
        <is>
          <t>path 5</t>
        </is>
      </c>
      <c r="B35" s="2" t="n">
        <v>3000000</v>
      </c>
      <c r="C35" s="2" t="n">
        <v>2000000</v>
      </c>
      <c r="D35" s="2" t="n">
        <v>2000000</v>
      </c>
      <c r="E35" s="2" t="n">
        <v>0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I145"/>
  <sheetViews>
    <sheetView topLeftCell="A129" workbookViewId="0">
      <selection activeCell="C65" sqref="C65"/>
    </sheetView>
  </sheetViews>
  <sheetFormatPr baseColWidth="8" defaultColWidth="14.42578125" defaultRowHeight="15" customHeight="1"/>
  <cols>
    <col width="86" customWidth="1" min="1" max="1"/>
    <col width="8.7109375" customWidth="1" min="2" max="2"/>
    <col width="16.42578125" customWidth="1" min="3" max="3"/>
    <col width="14.28515625" customWidth="1" min="4" max="4"/>
    <col width="13.42578125" customWidth="1" min="5" max="5"/>
    <col width="13.5703125" customWidth="1" min="6" max="7"/>
    <col width="14.85546875" customWidth="1" min="8" max="8"/>
    <col width="18.5703125" customWidth="1" min="9" max="9"/>
    <col width="8.7109375" customWidth="1" min="10" max="26"/>
  </cols>
  <sheetData>
    <row r="1" ht="14.25" customHeight="1"/>
    <row r="2" ht="14.25" customHeight="1">
      <c r="A2" s="15" t="inlineStr">
        <is>
          <t>Mismos factores de descuento de la hoja Datos de mercado</t>
        </is>
      </c>
    </row>
    <row r="3" ht="14.25" customHeight="1">
      <c r="A3" t="inlineStr">
        <is>
          <t>FECHA</t>
        </is>
      </c>
      <c r="B3" s="19" t="n">
        <v>46023</v>
      </c>
      <c r="C3" s="19" t="n">
        <v>46054</v>
      </c>
      <c r="D3" s="19" t="n">
        <v>46082</v>
      </c>
      <c r="E3" s="19" t="n">
        <v>46113</v>
      </c>
      <c r="F3" s="19" t="n">
        <v>46143</v>
      </c>
      <c r="G3" s="19" t="n">
        <v>46174</v>
      </c>
      <c r="H3" s="19" t="n">
        <v>46204</v>
      </c>
    </row>
    <row r="4" ht="14.25" customHeight="1">
      <c r="A4" s="2" t="inlineStr">
        <is>
          <t>path 0</t>
        </is>
      </c>
      <c r="B4" s="2" t="n">
        <v>1</v>
      </c>
      <c r="C4" s="2" t="n">
        <v>0.995</v>
      </c>
      <c r="D4" s="2" t="n">
        <v>0.98</v>
      </c>
      <c r="E4" s="2" t="n">
        <v>0.975</v>
      </c>
      <c r="F4" s="2" t="n">
        <v>0.972</v>
      </c>
      <c r="G4" s="2" t="n">
        <v>0.96</v>
      </c>
      <c r="H4" s="2" t="n">
        <v>0.95</v>
      </c>
    </row>
    <row r="5" ht="14.25" customHeight="1">
      <c r="A5" s="2" t="inlineStr">
        <is>
          <t>path 1</t>
        </is>
      </c>
      <c r="B5" s="2" t="n">
        <v>1</v>
      </c>
      <c r="C5" s="2" t="n">
        <v>0.991</v>
      </c>
      <c r="D5" s="2" t="n">
        <v>0.983</v>
      </c>
      <c r="E5" s="2" t="n">
        <v>0.976</v>
      </c>
      <c r="F5" s="2" t="n">
        <v>0.971</v>
      </c>
      <c r="G5" s="2" t="n">
        <v>0.957</v>
      </c>
      <c r="H5" s="2" t="n">
        <v>0.9399999999999999</v>
      </c>
    </row>
    <row r="6" ht="14.25" customHeight="1">
      <c r="A6" s="2" t="inlineStr">
        <is>
          <t>path 2</t>
        </is>
      </c>
      <c r="B6" s="2" t="n">
        <v>1</v>
      </c>
      <c r="C6" s="2" t="n">
        <v>0.996</v>
      </c>
      <c r="D6" s="2" t="n">
        <v>0.984</v>
      </c>
      <c r="E6" s="2" t="n">
        <v>0.98</v>
      </c>
      <c r="F6" s="2" t="n">
        <v>0.975</v>
      </c>
      <c r="G6" s="2" t="n">
        <v>0.964</v>
      </c>
      <c r="H6" s="2" t="n">
        <v>0.961</v>
      </c>
    </row>
    <row r="7" ht="14.25" customHeight="1">
      <c r="A7" s="2" t="inlineStr">
        <is>
          <t>path 3</t>
        </is>
      </c>
      <c r="B7" s="2" t="n">
        <v>1</v>
      </c>
      <c r="C7" s="2" t="n">
        <v>0.994</v>
      </c>
      <c r="D7" s="2" t="n">
        <v>0.98</v>
      </c>
      <c r="E7" s="2" t="n">
        <v>0.976</v>
      </c>
      <c r="F7" s="2" t="n">
        <v>0.971</v>
      </c>
      <c r="G7" s="2" t="n">
        <v>0.954</v>
      </c>
      <c r="H7" s="2" t="n">
        <v>0.95</v>
      </c>
    </row>
    <row r="8" ht="14.25" customHeight="1">
      <c r="A8" s="2" t="inlineStr">
        <is>
          <t>path 4</t>
        </is>
      </c>
      <c r="B8" s="2" t="n">
        <v>1</v>
      </c>
      <c r="C8" s="2" t="n">
        <v>0.998</v>
      </c>
      <c r="D8" s="2" t="n">
        <v>0.99</v>
      </c>
      <c r="E8" s="2" t="n">
        <v>0.981</v>
      </c>
      <c r="F8" s="2" t="n">
        <v>0.968</v>
      </c>
      <c r="G8" s="2" t="n">
        <v>0.96</v>
      </c>
      <c r="H8" s="2" t="n">
        <v>0.951</v>
      </c>
    </row>
    <row r="9" ht="14.25" customHeight="1">
      <c r="A9" s="2" t="inlineStr">
        <is>
          <t>path 5</t>
        </is>
      </c>
      <c r="B9" s="2" t="n">
        <v>1</v>
      </c>
      <c r="C9" s="2" t="n">
        <v>0.999</v>
      </c>
      <c r="D9" s="2" t="n">
        <v>0.987</v>
      </c>
      <c r="E9" s="2" t="n">
        <v>0.981</v>
      </c>
      <c r="F9" s="2" t="n">
        <v>0.978</v>
      </c>
      <c r="G9" s="2" t="n">
        <v>0.971</v>
      </c>
      <c r="H9" s="2" t="n">
        <v>0.962</v>
      </c>
    </row>
    <row r="10" ht="14.25" customHeight="1"/>
    <row r="11" ht="14.25" customHeight="1">
      <c r="A11" s="2" t="inlineStr">
        <is>
          <t>EXPOSICION + DEAL1</t>
        </is>
      </c>
      <c r="C11" s="2" t="inlineStr">
        <is>
          <t>int1</t>
        </is>
      </c>
      <c r="D11" s="3" t="inlineStr">
        <is>
          <t>int2</t>
        </is>
      </c>
      <c r="E11" s="3" t="inlineStr">
        <is>
          <t>int3</t>
        </is>
      </c>
      <c r="F11" s="3" t="inlineStr">
        <is>
          <t>int4</t>
        </is>
      </c>
      <c r="G11" s="3" t="inlineStr">
        <is>
          <t>int5</t>
        </is>
      </c>
      <c r="H11" s="2" t="inlineStr">
        <is>
          <t>int6</t>
        </is>
      </c>
    </row>
    <row r="12" ht="14.25" customHeight="1">
      <c r="A12" s="2" t="inlineStr">
        <is>
          <t>path 0</t>
        </is>
      </c>
      <c r="C12" s="4" t="n">
        <v>757000</v>
      </c>
      <c r="D12" s="4" t="n">
        <v>132000</v>
      </c>
      <c r="E12" s="4" t="n">
        <v>140250</v>
      </c>
      <c r="F12" s="4" t="n">
        <v>215250</v>
      </c>
      <c r="G12" s="4" t="n">
        <v>216000</v>
      </c>
      <c r="H12" s="4" t="n">
        <v>10893.6170212766</v>
      </c>
      <c r="I12" s="4" t="n"/>
    </row>
    <row r="13" ht="14.25" customHeight="1">
      <c r="A13" s="2" t="inlineStr">
        <is>
          <t>path 1</t>
        </is>
      </c>
      <c r="C13" s="4" t="n">
        <v>1200000</v>
      </c>
      <c r="D13" s="4" t="n">
        <v>600000</v>
      </c>
      <c r="E13" s="4" t="n">
        <v>400000</v>
      </c>
      <c r="F13" s="4" t="n">
        <v>475000</v>
      </c>
      <c r="G13" s="4" t="n">
        <v>525000</v>
      </c>
      <c r="H13" s="4" t="n">
        <v>310250</v>
      </c>
      <c r="I13" s="4" t="n"/>
    </row>
    <row r="14" ht="14.25" customHeight="1">
      <c r="A14" s="2" t="inlineStr">
        <is>
          <t>path 2</t>
        </is>
      </c>
      <c r="C14" s="4" t="n">
        <v>1750750</v>
      </c>
      <c r="D14" s="4" t="n">
        <v>2050750</v>
      </c>
      <c r="E14" s="4" t="n">
        <v>1775000</v>
      </c>
      <c r="F14" s="4" t="n">
        <v>1625000</v>
      </c>
      <c r="G14" s="4" t="n">
        <v>1350000</v>
      </c>
      <c r="H14" s="4" t="n">
        <v>625000</v>
      </c>
      <c r="I14" s="4" t="n"/>
    </row>
    <row r="15" ht="14.25" customHeight="1">
      <c r="A15" s="2" t="inlineStr">
        <is>
          <t>path 3</t>
        </is>
      </c>
      <c r="C15" s="4" t="n">
        <v>830000</v>
      </c>
      <c r="D15" s="4" t="n">
        <v>59526.5776868344</v>
      </c>
      <c r="E15" s="4" t="n">
        <v>1606.454376695702</v>
      </c>
      <c r="F15" s="4" t="n">
        <v>241.9354838709677</v>
      </c>
      <c r="G15" s="4" t="n">
        <v>0</v>
      </c>
      <c r="H15" s="4" t="n">
        <v>11250</v>
      </c>
      <c r="I15" s="4" t="n"/>
    </row>
    <row r="16" ht="14.25" customHeight="1">
      <c r="A16" s="2" t="inlineStr">
        <is>
          <t>path 4</t>
        </is>
      </c>
      <c r="C16" s="4" t="n">
        <v>1550000</v>
      </c>
      <c r="D16" s="4" t="n">
        <v>1303000</v>
      </c>
      <c r="E16" s="4" t="n">
        <v>506000</v>
      </c>
      <c r="F16" s="4" t="n">
        <v>283000</v>
      </c>
      <c r="G16" s="4" t="n">
        <v>275087.7192982456</v>
      </c>
      <c r="H16" s="4" t="n">
        <v>0</v>
      </c>
      <c r="I16" s="4" t="n"/>
    </row>
    <row r="17" ht="14.25" customHeight="1">
      <c r="A17" s="2" t="inlineStr">
        <is>
          <t>path 5</t>
        </is>
      </c>
      <c r="C17" s="4" t="n">
        <v>702993.1887771044</v>
      </c>
      <c r="D17" s="4" t="n">
        <v>0</v>
      </c>
      <c r="E17" s="4" t="n">
        <v>0</v>
      </c>
      <c r="F17" s="4" t="n">
        <v>16071.42857142857</v>
      </c>
      <c r="G17" s="4" t="n">
        <v>70000</v>
      </c>
      <c r="H17" s="4" t="n">
        <v>290000</v>
      </c>
    </row>
    <row r="18" ht="14.25" customHeight="1"/>
    <row r="19" ht="14.25" customHeight="1"/>
    <row r="20" ht="14.25" customHeight="1"/>
    <row r="21" ht="14.25" customHeight="1"/>
    <row r="22" ht="14.25" customHeight="1">
      <c r="A22" s="2" t="inlineStr">
        <is>
          <t>EXPOSICION + DEAL2</t>
        </is>
      </c>
      <c r="C22" s="2" t="inlineStr">
        <is>
          <t>int1</t>
        </is>
      </c>
      <c r="D22" s="3" t="inlineStr">
        <is>
          <t>int2</t>
        </is>
      </c>
      <c r="E22" s="3" t="inlineStr">
        <is>
          <t>int3</t>
        </is>
      </c>
      <c r="F22" s="3" t="inlineStr">
        <is>
          <t>int4</t>
        </is>
      </c>
      <c r="G22" s="3" t="inlineStr">
        <is>
          <t>int5</t>
        </is>
      </c>
      <c r="H22" s="2" t="inlineStr">
        <is>
          <t>int6</t>
        </is>
      </c>
    </row>
    <row r="23" ht="14.25" customHeight="1">
      <c r="A23" s="2" t="inlineStr">
        <is>
          <t>path 0</t>
        </is>
      </c>
      <c r="C23" t="n">
        <v>0</v>
      </c>
      <c r="D23" t="n">
        <v>0</v>
      </c>
      <c r="E23" t="n">
        <v>0</v>
      </c>
      <c r="F23" t="n">
        <v>0</v>
      </c>
      <c r="G23" t="n">
        <v>526.3157894736842</v>
      </c>
      <c r="H23" t="n">
        <v>22500</v>
      </c>
    </row>
    <row r="24" ht="14.25" customHeight="1">
      <c r="A24" s="2" t="inlineStr">
        <is>
          <t>path 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 ht="14.25" customHeight="1">
      <c r="A25" s="2" t="inlineStr">
        <is>
          <t>path 2</t>
        </is>
      </c>
      <c r="C25" t="n">
        <v>0</v>
      </c>
      <c r="D25" t="n">
        <v>0</v>
      </c>
      <c r="E25" t="n">
        <v>0</v>
      </c>
      <c r="F25" t="n">
        <v>18232.55813953489</v>
      </c>
      <c r="G25" t="n">
        <v>88000</v>
      </c>
      <c r="H25" t="n">
        <v>30000</v>
      </c>
    </row>
    <row r="26" ht="14.25" customHeight="1">
      <c r="A26" s="2" t="inlineStr">
        <is>
          <t>path 3</t>
        </is>
      </c>
      <c r="C26" t="n">
        <v>19.9203187250996</v>
      </c>
      <c r="D26" t="n">
        <v>15025</v>
      </c>
      <c r="E26" t="n">
        <v>37025</v>
      </c>
      <c r="F26" t="n">
        <v>13500</v>
      </c>
      <c r="G26" t="n">
        <v>0</v>
      </c>
      <c r="H26" t="n">
        <v>0</v>
      </c>
    </row>
    <row r="27" ht="14.25" customHeight="1">
      <c r="A27" s="2" t="inlineStr">
        <is>
          <t>path 4</t>
        </is>
      </c>
      <c r="C27" t="n">
        <v>0</v>
      </c>
      <c r="D27" t="n">
        <v>1184.910900254571</v>
      </c>
      <c r="E27" t="n">
        <v>6243.90243902439</v>
      </c>
      <c r="F27" t="n">
        <v>27191.17647058823</v>
      </c>
      <c r="G27" t="n">
        <v>168000</v>
      </c>
      <c r="H27" t="n">
        <v>140000</v>
      </c>
    </row>
    <row r="28" ht="14.25" customHeight="1">
      <c r="A28" s="2" t="inlineStr">
        <is>
          <t>path 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 ht="14.25" customHeight="1">
      <c r="C29">
        <f> (MAX(0,Deals!B19) + MAX(0,Deals!C19))/2</f>
        <v/>
      </c>
      <c r="D29">
        <f> (MAX(0,Deals!C19) + MAX(0,Deals!D19))/2</f>
        <v/>
      </c>
      <c r="E29">
        <f> (MAX(0,Deals!D19) + MAX(0,Deals!E19))/2</f>
        <v/>
      </c>
      <c r="F29">
        <f> (MAX(0,Deals!E19) + MAX(0,Deals!F19))/2</f>
        <v/>
      </c>
      <c r="G29">
        <f> (MAX(0,Deals!F19) + MAX(0,Deals!G19))/2</f>
        <v/>
      </c>
      <c r="H29">
        <f> (MAX(0,Deals!G19) + MAX(0,Deals!H19))/2</f>
        <v/>
      </c>
    </row>
    <row r="30" ht="14.25" customHeight="1"/>
    <row r="31" ht="14.25" customHeight="1"/>
    <row r="32" ht="14.25" customHeight="1">
      <c r="A32" s="2" t="inlineStr">
        <is>
          <t>EXPOSICION + DEAL3</t>
        </is>
      </c>
      <c r="C32" s="2" t="inlineStr">
        <is>
          <t>int1</t>
        </is>
      </c>
      <c r="D32" s="3" t="inlineStr">
        <is>
          <t>int2</t>
        </is>
      </c>
      <c r="E32" s="3" t="inlineStr">
        <is>
          <t>int3</t>
        </is>
      </c>
      <c r="F32" s="3" t="inlineStr">
        <is>
          <t>int4</t>
        </is>
      </c>
      <c r="G32" s="3" t="inlineStr">
        <is>
          <t>int5</t>
        </is>
      </c>
      <c r="H32" s="2" t="inlineStr">
        <is>
          <t>int6</t>
        </is>
      </c>
    </row>
    <row r="33" ht="14.25" customHeight="1">
      <c r="A33" s="2" t="inlineStr">
        <is>
          <t>path 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 ht="14.25" customHeight="1">
      <c r="A34" s="2" t="inlineStr">
        <is>
          <t>path 1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 ht="14.25" customHeight="1">
      <c r="A35" s="2" t="inlineStr">
        <is>
          <t>path 2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 ht="14.25" customHeight="1">
      <c r="A36" s="2" t="inlineStr">
        <is>
          <t>path 3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 ht="14.25" customHeight="1">
      <c r="A37" s="2" t="inlineStr">
        <is>
          <t>path 4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 ht="14.25" customHeight="1">
      <c r="A38" s="2" t="inlineStr">
        <is>
          <t>path 5</t>
        </is>
      </c>
      <c r="C38" t="n">
        <v>28.40909090909091</v>
      </c>
      <c r="D38" t="n">
        <v>155000</v>
      </c>
      <c r="E38" t="n">
        <v>165000</v>
      </c>
      <c r="F38" t="n">
        <v>15000</v>
      </c>
      <c r="G38" t="n">
        <v>0</v>
      </c>
      <c r="H38" t="n">
        <v>0</v>
      </c>
    </row>
    <row r="39" ht="14.25" customHeight="1"/>
    <row r="40" ht="14.25" customHeight="1"/>
    <row r="41" ht="14.25" customHeight="1">
      <c r="A41" s="2" t="inlineStr">
        <is>
          <t>EXPOSICION + DEAL4</t>
        </is>
      </c>
      <c r="C41" s="2" t="inlineStr">
        <is>
          <t>int1</t>
        </is>
      </c>
      <c r="D41" s="3" t="inlineStr">
        <is>
          <t>int2</t>
        </is>
      </c>
      <c r="E41" s="3" t="inlineStr">
        <is>
          <t>int3</t>
        </is>
      </c>
      <c r="F41" s="3" t="inlineStr">
        <is>
          <t>int4</t>
        </is>
      </c>
      <c r="G41" s="3" t="inlineStr">
        <is>
          <t>int5</t>
        </is>
      </c>
      <c r="H41" s="2" t="inlineStr">
        <is>
          <t>int6</t>
        </is>
      </c>
    </row>
    <row r="42" ht="14.25" customHeight="1">
      <c r="A42" s="2" t="inlineStr">
        <is>
          <t>path 0</t>
        </is>
      </c>
      <c r="C42" t="n">
        <v>2750000</v>
      </c>
      <c r="D42" t="n">
        <v>2300250</v>
      </c>
      <c r="E42" t="n">
        <v>1050250</v>
      </c>
      <c r="F42" t="n">
        <v>0</v>
      </c>
      <c r="G42" t="n">
        <v>0</v>
      </c>
      <c r="H42" t="n">
        <v>0</v>
      </c>
    </row>
    <row r="43" ht="14.25" customHeight="1">
      <c r="A43" s="2" t="inlineStr">
        <is>
          <t>path 1</t>
        </is>
      </c>
      <c r="C43" t="n">
        <v>3250000</v>
      </c>
      <c r="D43" t="n">
        <v>3350000</v>
      </c>
      <c r="E43" t="n">
        <v>1600000</v>
      </c>
      <c r="F43" t="n">
        <v>0</v>
      </c>
      <c r="G43" t="n">
        <v>0</v>
      </c>
      <c r="H43" t="n">
        <v>0</v>
      </c>
    </row>
    <row r="44" ht="14.25" customHeight="1">
      <c r="A44" s="2" t="inlineStr">
        <is>
          <t>path 2</t>
        </is>
      </c>
      <c r="C44" t="n">
        <v>2000000</v>
      </c>
      <c r="D44" t="n">
        <v>528000</v>
      </c>
      <c r="E44" t="n">
        <v>28000</v>
      </c>
      <c r="F44" t="n">
        <v>0</v>
      </c>
      <c r="G44" t="n">
        <v>0</v>
      </c>
      <c r="H44" t="n">
        <v>0</v>
      </c>
    </row>
    <row r="45" ht="14.25" customHeight="1">
      <c r="A45" s="2" t="inlineStr">
        <is>
          <t>path 3</t>
        </is>
      </c>
      <c r="C45" t="n">
        <v>1750000</v>
      </c>
      <c r="D45" t="n">
        <v>450000</v>
      </c>
      <c r="E45" t="n">
        <v>200000</v>
      </c>
      <c r="F45" t="n">
        <v>0</v>
      </c>
      <c r="G45" t="n">
        <v>0</v>
      </c>
      <c r="H45" t="n">
        <v>0</v>
      </c>
    </row>
    <row r="46" ht="14.25" customHeight="1">
      <c r="A46" s="2" t="inlineStr">
        <is>
          <t>path 4</t>
        </is>
      </c>
      <c r="C46" t="n">
        <v>2250000</v>
      </c>
      <c r="D46" t="n">
        <v>1752500</v>
      </c>
      <c r="E46" t="n">
        <v>1002500</v>
      </c>
      <c r="F46" t="n">
        <v>0</v>
      </c>
      <c r="G46" t="n">
        <v>0</v>
      </c>
      <c r="H46" t="n">
        <v>0</v>
      </c>
    </row>
    <row r="47" ht="14.25" customHeight="1">
      <c r="A47" s="2" t="inlineStr">
        <is>
          <t>path 5</t>
        </is>
      </c>
      <c r="C47" t="n">
        <v>2500000</v>
      </c>
      <c r="D47" t="n">
        <v>2000000</v>
      </c>
      <c r="E47" t="n">
        <v>1000000</v>
      </c>
      <c r="F47" t="n">
        <v>0</v>
      </c>
      <c r="G47" t="n">
        <v>0</v>
      </c>
      <c r="H47" t="n">
        <v>0</v>
      </c>
    </row>
    <row r="48" ht="14.25" customHeight="1"/>
    <row r="49" ht="14.25" customHeight="1"/>
    <row r="50" ht="14.25" customHeight="1"/>
    <row r="51" ht="14.25" customHeight="1"/>
    <row r="52" ht="14.25" customHeight="1">
      <c r="A52" s="2" t="inlineStr">
        <is>
          <t>EXPOSICION + TOTAL</t>
        </is>
      </c>
      <c r="C52" s="2" t="inlineStr">
        <is>
          <t>int1</t>
        </is>
      </c>
      <c r="D52" s="3" t="inlineStr">
        <is>
          <t>int2</t>
        </is>
      </c>
      <c r="E52" s="3" t="inlineStr">
        <is>
          <t>int3</t>
        </is>
      </c>
      <c r="F52" s="3" t="inlineStr">
        <is>
          <t>int4</t>
        </is>
      </c>
      <c r="G52" s="3" t="inlineStr">
        <is>
          <t>int5</t>
        </is>
      </c>
      <c r="H52" s="2" t="inlineStr">
        <is>
          <t>int6</t>
        </is>
      </c>
    </row>
    <row r="53" ht="14.25" customHeight="1">
      <c r="A53" s="2" t="inlineStr">
        <is>
          <t>path 0</t>
        </is>
      </c>
      <c r="C53" s="4" t="n">
        <v>3507000</v>
      </c>
      <c r="D53" s="4" t="n">
        <v>2432250</v>
      </c>
      <c r="E53" s="4" t="n">
        <v>1190500</v>
      </c>
      <c r="F53" s="4" t="n">
        <v>215250</v>
      </c>
      <c r="G53" s="4" t="n">
        <v>216526.3157894737</v>
      </c>
      <c r="H53" s="4" t="n">
        <v>33393.61702127659</v>
      </c>
    </row>
    <row r="54" ht="14.25" customHeight="1">
      <c r="A54" s="2" t="inlineStr">
        <is>
          <t>path 1</t>
        </is>
      </c>
      <c r="C54" s="4" t="n">
        <v>4450000</v>
      </c>
      <c r="D54" s="4" t="n">
        <v>3950000</v>
      </c>
      <c r="E54" s="4" t="n">
        <v>2000000</v>
      </c>
      <c r="F54" s="4" t="n">
        <v>475000</v>
      </c>
      <c r="G54" s="4" t="n">
        <v>525000</v>
      </c>
      <c r="H54" s="4" t="n">
        <v>310250</v>
      </c>
    </row>
    <row r="55" ht="14.25" customHeight="1">
      <c r="A55" s="2" t="inlineStr">
        <is>
          <t>path 2</t>
        </is>
      </c>
      <c r="C55" s="4" t="n">
        <v>3750750</v>
      </c>
      <c r="D55" s="4" t="n">
        <v>2578750</v>
      </c>
      <c r="E55" s="4" t="n">
        <v>1803000</v>
      </c>
      <c r="F55" s="4" t="n">
        <v>1643232.558139535</v>
      </c>
      <c r="G55" s="4" t="n">
        <v>1438000</v>
      </c>
      <c r="H55" s="4" t="n">
        <v>655000</v>
      </c>
    </row>
    <row r="56" ht="14.25" customHeight="1">
      <c r="A56" s="2" t="inlineStr">
        <is>
          <t>path 3</t>
        </is>
      </c>
      <c r="C56" s="4" t="n">
        <v>2580019.920318725</v>
      </c>
      <c r="D56" s="4" t="n">
        <v>524551.5776868344</v>
      </c>
      <c r="E56" s="4" t="n">
        <v>238631.4543766957</v>
      </c>
      <c r="F56" s="4" t="n">
        <v>13741.93548387097</v>
      </c>
      <c r="G56" s="4" t="n">
        <v>0</v>
      </c>
      <c r="H56" s="4" t="n">
        <v>11250</v>
      </c>
    </row>
    <row r="57" ht="14.25" customHeight="1">
      <c r="A57" s="2" t="inlineStr">
        <is>
          <t>path 4</t>
        </is>
      </c>
      <c r="C57" s="4" t="n">
        <v>3800000</v>
      </c>
      <c r="D57" s="4" t="n">
        <v>3056684.910900255</v>
      </c>
      <c r="E57" s="4" t="n">
        <v>1514743.902439024</v>
      </c>
      <c r="F57" s="4" t="n">
        <v>310191.1764705883</v>
      </c>
      <c r="G57" s="4" t="n">
        <v>443087.7192982456</v>
      </c>
      <c r="H57" s="4" t="n">
        <v>140000</v>
      </c>
    </row>
    <row r="58" ht="14.25" customHeight="1">
      <c r="A58" s="2" t="inlineStr">
        <is>
          <t>path 5</t>
        </is>
      </c>
      <c r="C58" s="4" t="n">
        <v>3203021.597868013</v>
      </c>
      <c r="D58" s="4" t="n">
        <v>2155000</v>
      </c>
      <c r="E58" s="4" t="n">
        <v>1165000</v>
      </c>
      <c r="F58" s="4" t="n">
        <v>31071.42857142857</v>
      </c>
      <c r="G58" s="4" t="n">
        <v>70000</v>
      </c>
      <c r="H58" s="4" t="n">
        <v>290000</v>
      </c>
    </row>
    <row r="59" ht="14.25" customHeight="1"/>
    <row r="60" ht="14.25" customHeight="1"/>
    <row r="61" ht="14.25" customHeight="1"/>
    <row r="62" ht="14.25" customHeight="1"/>
    <row r="63" ht="14.25" customHeight="1"/>
    <row r="64" ht="14.25" customHeight="1">
      <c r="A64" t="inlineStr">
        <is>
          <t>AJUSTE CVA i,j</t>
        </is>
      </c>
      <c r="C64" s="2" t="inlineStr">
        <is>
          <t>int1</t>
        </is>
      </c>
      <c r="D64" s="3" t="inlineStr">
        <is>
          <t>int2</t>
        </is>
      </c>
      <c r="E64" s="3" t="inlineStr">
        <is>
          <t>int3</t>
        </is>
      </c>
      <c r="F64" s="3" t="inlineStr">
        <is>
          <t>int4</t>
        </is>
      </c>
      <c r="G64" s="3" t="inlineStr">
        <is>
          <t>int5</t>
        </is>
      </c>
      <c r="H64" s="2" t="inlineStr">
        <is>
          <t>int6</t>
        </is>
      </c>
      <c r="I64" t="inlineStr">
        <is>
          <t>CVA por Escenario</t>
        </is>
      </c>
    </row>
    <row r="65" ht="14.25" customHeight="1">
      <c r="A65" s="2" t="inlineStr">
        <is>
          <t>path 0</t>
        </is>
      </c>
      <c r="C65" t="n">
        <v>40826.74050000003</v>
      </c>
      <c r="D65" t="n">
        <v>10726.22250000001</v>
      </c>
      <c r="E65" t="n">
        <v>12535.96500000001</v>
      </c>
      <c r="F65" t="n">
        <v>1883.006999999991</v>
      </c>
      <c r="G65" t="n">
        <v>1870.787368421054</v>
      </c>
      <c r="H65" t="n">
        <v>228.4123404255321</v>
      </c>
      <c r="I65" t="n">
        <v>68071.13470884663</v>
      </c>
    </row>
    <row r="66" ht="14.25" customHeight="1">
      <c r="A66" s="2" t="inlineStr">
        <is>
          <t>path 1</t>
        </is>
      </c>
      <c r="C66" t="n">
        <v>51596.41500000004</v>
      </c>
      <c r="D66" t="n">
        <v>17472.82500000002</v>
      </c>
      <c r="E66" t="n">
        <v>21081.60000000002</v>
      </c>
      <c r="F66" t="n">
        <v>4151.02499999998</v>
      </c>
      <c r="G66" t="n">
        <v>4521.825000000003</v>
      </c>
      <c r="H66" t="n">
        <v>2099.772000000002</v>
      </c>
      <c r="I66" t="n">
        <v>100923.4620000001</v>
      </c>
    </row>
    <row r="67" ht="14.25" customHeight="1">
      <c r="A67" s="2" t="inlineStr">
        <is>
          <t>path 2</t>
        </is>
      </c>
      <c r="C67" t="n">
        <v>43708.23990000003</v>
      </c>
      <c r="D67" t="n">
        <v>11418.70500000001</v>
      </c>
      <c r="E67" t="n">
        <v>19082.95200000002</v>
      </c>
      <c r="F67" t="n">
        <v>14419.36569767435</v>
      </c>
      <c r="G67" t="n">
        <v>12476.08800000001</v>
      </c>
      <c r="H67" t="n">
        <v>4532.076000000005</v>
      </c>
      <c r="I67" t="n">
        <v>105637.4265976744</v>
      </c>
    </row>
    <row r="68" ht="14.25" customHeight="1">
      <c r="A68" s="2" t="inlineStr">
        <is>
          <t>path 3</t>
        </is>
      </c>
      <c r="C68" t="n">
        <v>30005.11566932273</v>
      </c>
      <c r="D68" t="n">
        <v>2313.272457598941</v>
      </c>
      <c r="E68" t="n">
        <v>2515.366434293876</v>
      </c>
      <c r="F68" t="n">
        <v>120.0907741935478</v>
      </c>
      <c r="G68" t="n">
        <v>0</v>
      </c>
      <c r="H68" t="n">
        <v>76.95000000000005</v>
      </c>
      <c r="I68" t="n">
        <v>35030.79533540909</v>
      </c>
    </row>
    <row r="69" ht="14.25" customHeight="1">
      <c r="A69" s="2" t="inlineStr">
        <is>
          <t>path 4</t>
        </is>
      </c>
      <c r="C69" t="n">
        <v>44371.08000000004</v>
      </c>
      <c r="D69" t="n">
        <v>13617.53127806065</v>
      </c>
      <c r="E69" t="n">
        <v>16048.40869756099</v>
      </c>
      <c r="F69" t="n">
        <v>2702.385529411752</v>
      </c>
      <c r="G69" t="n">
        <v>3828.277894736845</v>
      </c>
      <c r="H69" t="n">
        <v>958.6080000000007</v>
      </c>
      <c r="I69" t="n">
        <v>81526.29139977029</v>
      </c>
    </row>
    <row r="70" ht="14.25" customHeight="1">
      <c r="A70" s="2" t="inlineStr">
        <is>
          <t>path 5</t>
        </is>
      </c>
      <c r="C70" t="n">
        <v>37437.87734236072</v>
      </c>
      <c r="D70" t="n">
        <v>9571.432500000006</v>
      </c>
      <c r="E70" t="n">
        <v>12342.94200000001</v>
      </c>
      <c r="F70" t="n">
        <v>273.490714285713</v>
      </c>
      <c r="G70" t="n">
        <v>611.7300000000005</v>
      </c>
      <c r="H70" t="n">
        <v>2008.656000000002</v>
      </c>
      <c r="I70" t="n">
        <v>62246.12855664646</v>
      </c>
    </row>
    <row r="71" ht="14.25" customHeight="1">
      <c r="A71" s="2" t="n"/>
    </row>
    <row r="72" ht="14.25" customHeight="1"/>
    <row r="73" ht="14.25" customHeight="1"/>
    <row r="74" ht="14.25" customHeight="1">
      <c r="A74" t="inlineStr">
        <is>
          <t>CVA TOTAL PORTFOLIO</t>
        </is>
      </c>
      <c r="I74" s="12" t="n">
        <v>75572.53976639117</v>
      </c>
    </row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>
      <c r="A86" s="2" t="inlineStr">
        <is>
          <t>EXPOSICION - DEAL1</t>
        </is>
      </c>
      <c r="C86" s="2" t="inlineStr">
        <is>
          <t>int1</t>
        </is>
      </c>
      <c r="D86" s="3" t="inlineStr">
        <is>
          <t>int2</t>
        </is>
      </c>
      <c r="E86" s="3" t="inlineStr">
        <is>
          <t>int3</t>
        </is>
      </c>
      <c r="F86" s="3" t="inlineStr">
        <is>
          <t>int4</t>
        </is>
      </c>
      <c r="G86" s="3" t="inlineStr">
        <is>
          <t>int5</t>
        </is>
      </c>
      <c r="H86" s="2" t="inlineStr">
        <is>
          <t>int6</t>
        </is>
      </c>
    </row>
    <row r="87" ht="14.25" customHeight="1">
      <c r="A87" s="2" t="inlineStr">
        <is>
          <t>path 0</t>
        </is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2393.617021276596</v>
      </c>
    </row>
    <row r="88" ht="14.25" customHeight="1">
      <c r="A88" s="2" t="inlineStr">
        <is>
          <t>path 1</t>
        </is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</row>
    <row r="89" ht="14.25" customHeight="1">
      <c r="A89" s="2" t="inlineStr">
        <is>
          <t>path 2</t>
        </is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</row>
    <row r="90" ht="14.25" customHeight="1">
      <c r="A90" s="2" t="inlineStr">
        <is>
          <t>path 3</t>
        </is>
      </c>
      <c r="C90" s="4" t="n">
        <v>0</v>
      </c>
      <c r="D90" s="4" t="n">
        <v>7041.577686834396</v>
      </c>
      <c r="E90" s="4" t="n">
        <v>21621.4543766957</v>
      </c>
      <c r="F90" s="4" t="n">
        <v>217741.935483871</v>
      </c>
      <c r="G90" s="4" t="n">
        <v>230000</v>
      </c>
      <c r="H90" s="4" t="n">
        <v>1250</v>
      </c>
    </row>
    <row r="91" ht="14.25" customHeight="1">
      <c r="A91" s="2" t="inlineStr">
        <is>
          <t>path 4</t>
        </is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87.71929824561403</v>
      </c>
      <c r="H91" s="4" t="n">
        <v>32000</v>
      </c>
    </row>
    <row r="92" ht="14.25" customHeight="1">
      <c r="A92" s="2" t="inlineStr">
        <is>
          <t>path 5</t>
        </is>
      </c>
      <c r="C92" s="4" t="n">
        <v>3143.188777104293</v>
      </c>
      <c r="D92" s="4" t="n">
        <v>175150</v>
      </c>
      <c r="E92" s="4" t="n">
        <v>151000</v>
      </c>
      <c r="F92" s="4" t="n">
        <v>12071.42857142857</v>
      </c>
      <c r="G92" s="4" t="n">
        <v>0</v>
      </c>
      <c r="H92" s="4" t="n">
        <v>0</v>
      </c>
    </row>
    <row r="93" ht="14.25" customHeight="1"/>
    <row r="94" ht="14.25" customHeight="1"/>
    <row r="95" ht="14.25" customHeight="1"/>
    <row r="96" ht="14.25" customHeight="1"/>
    <row r="97" ht="14.25" customHeight="1">
      <c r="A97" s="2" t="inlineStr">
        <is>
          <t>EXPOSICION - DEAL2</t>
        </is>
      </c>
      <c r="C97" s="2" t="inlineStr">
        <is>
          <t>int1</t>
        </is>
      </c>
      <c r="D97" s="3" t="inlineStr">
        <is>
          <t>int2</t>
        </is>
      </c>
      <c r="E97" s="3" t="inlineStr">
        <is>
          <t>int3</t>
        </is>
      </c>
      <c r="F97" s="3" t="inlineStr">
        <is>
          <t>int4</t>
        </is>
      </c>
      <c r="G97" s="3" t="inlineStr">
        <is>
          <t>int5</t>
        </is>
      </c>
      <c r="H97" s="2" t="inlineStr">
        <is>
          <t>int6</t>
        </is>
      </c>
    </row>
    <row r="98" ht="14.25" customHeight="1">
      <c r="A98" s="2" t="inlineStr">
        <is>
          <t>path 0</t>
        </is>
      </c>
      <c r="C98" s="4" t="n">
        <v>2300000</v>
      </c>
      <c r="D98" s="4" t="n">
        <v>1550400</v>
      </c>
      <c r="E98" s="4" t="n">
        <v>530400</v>
      </c>
      <c r="F98" s="4" t="n">
        <v>72500</v>
      </c>
      <c r="G98" s="4" t="n">
        <v>38026.31578947369</v>
      </c>
      <c r="H98" s="4" t="n">
        <v>0</v>
      </c>
    </row>
    <row r="99" ht="14.25" customHeight="1">
      <c r="A99" s="2" t="inlineStr">
        <is>
          <t>path 1</t>
        </is>
      </c>
      <c r="C99" s="4" t="n">
        <v>2750000</v>
      </c>
      <c r="D99" s="4" t="n">
        <v>2790500</v>
      </c>
      <c r="E99" s="4" t="n">
        <v>2680500</v>
      </c>
      <c r="F99" s="4" t="n">
        <v>2640000</v>
      </c>
      <c r="G99" s="4" t="n">
        <v>2750000</v>
      </c>
      <c r="H99" s="4" t="n">
        <v>2250000</v>
      </c>
    </row>
    <row r="100" ht="14.25" customHeight="1">
      <c r="A100" s="2" t="inlineStr">
        <is>
          <t>path 2</t>
        </is>
      </c>
      <c r="C100" s="4" t="n">
        <v>2000000</v>
      </c>
      <c r="D100" s="4" t="n">
        <v>830000</v>
      </c>
      <c r="E100" s="4" t="n">
        <v>95000</v>
      </c>
      <c r="F100" s="4" t="n">
        <v>5232.558139534884</v>
      </c>
      <c r="G100" s="4" t="n">
        <v>0</v>
      </c>
      <c r="H100" s="4" t="n">
        <v>30000</v>
      </c>
    </row>
    <row r="101" ht="14.25" customHeight="1">
      <c r="A101" s="2" t="inlineStr">
        <is>
          <t>path 3</t>
        </is>
      </c>
      <c r="C101" s="4" t="n">
        <v>1245019.920318725</v>
      </c>
      <c r="D101" s="4" t="n">
        <v>0</v>
      </c>
      <c r="E101" s="4" t="n">
        <v>0</v>
      </c>
      <c r="F101" s="4" t="n">
        <v>13500</v>
      </c>
      <c r="G101" s="4" t="n">
        <v>77000</v>
      </c>
      <c r="H101" s="4" t="n">
        <v>330000</v>
      </c>
    </row>
    <row r="102" ht="14.25" customHeight="1">
      <c r="A102" s="2" t="inlineStr">
        <is>
          <t>path 4</t>
        </is>
      </c>
      <c r="C102" s="4" t="n">
        <v>1450050</v>
      </c>
      <c r="D102" s="4" t="n">
        <v>185234.9109002546</v>
      </c>
      <c r="E102" s="4" t="n">
        <v>15243.90243902439</v>
      </c>
      <c r="F102" s="4" t="n">
        <v>9191.176470588236</v>
      </c>
      <c r="G102" s="4" t="n">
        <v>0</v>
      </c>
      <c r="H102" s="4" t="n">
        <v>0</v>
      </c>
    </row>
    <row r="103" ht="14.25" customHeight="1">
      <c r="A103" s="2" t="inlineStr">
        <is>
          <t>path 5</t>
        </is>
      </c>
      <c r="C103" s="4" t="n">
        <v>3000065</v>
      </c>
      <c r="D103" s="4" t="n">
        <v>3300365</v>
      </c>
      <c r="E103" s="4" t="n">
        <v>2800300</v>
      </c>
      <c r="F103" s="4" t="n">
        <v>1750050</v>
      </c>
      <c r="G103" s="4" t="n">
        <v>1750050</v>
      </c>
      <c r="H103" s="4" t="n">
        <v>1400000</v>
      </c>
    </row>
    <row r="104" ht="14.25" customHeight="1"/>
    <row r="105" ht="14.25" customHeight="1"/>
    <row r="106" ht="14.25" customHeight="1"/>
    <row r="107" ht="14.25" customHeight="1">
      <c r="A107" s="2" t="inlineStr">
        <is>
          <t>EXPOSICION - DEAL3</t>
        </is>
      </c>
      <c r="C107" s="2" t="inlineStr">
        <is>
          <t>int1</t>
        </is>
      </c>
      <c r="D107" s="3" t="inlineStr">
        <is>
          <t>int2</t>
        </is>
      </c>
      <c r="E107" s="3" t="inlineStr">
        <is>
          <t>int3</t>
        </is>
      </c>
      <c r="F107" s="3" t="inlineStr">
        <is>
          <t>int4</t>
        </is>
      </c>
      <c r="G107" s="3" t="inlineStr">
        <is>
          <t>int5</t>
        </is>
      </c>
      <c r="H107" s="2" t="inlineStr">
        <is>
          <t>int6</t>
        </is>
      </c>
    </row>
    <row r="108" ht="14.25" customHeight="1">
      <c r="A108" s="2" t="inlineStr">
        <is>
          <t>path 0</t>
        </is>
      </c>
      <c r="C108" s="4" t="n">
        <v>1125000</v>
      </c>
      <c r="D108" s="4" t="n">
        <v>325000</v>
      </c>
      <c r="E108" s="4" t="n">
        <v>115000</v>
      </c>
      <c r="F108" s="4" t="n">
        <v>40000</v>
      </c>
      <c r="G108" s="4" t="n">
        <v>0</v>
      </c>
      <c r="H108" s="4" t="n">
        <v>0</v>
      </c>
    </row>
    <row r="109" ht="14.25" customHeight="1">
      <c r="A109" s="2" t="inlineStr">
        <is>
          <t>path 1</t>
        </is>
      </c>
      <c r="C109" s="4" t="n">
        <v>1175000</v>
      </c>
      <c r="D109" s="4" t="n">
        <v>700000</v>
      </c>
      <c r="E109" s="4" t="n">
        <v>890000</v>
      </c>
      <c r="F109" s="4" t="n">
        <v>490000</v>
      </c>
      <c r="G109" s="4" t="n">
        <v>0</v>
      </c>
      <c r="H109" s="4" t="n">
        <v>0</v>
      </c>
    </row>
    <row r="110" ht="14.25" customHeight="1">
      <c r="A110" s="2" t="inlineStr">
        <is>
          <t>path 2</t>
        </is>
      </c>
      <c r="C110" s="4" t="n">
        <v>2375000</v>
      </c>
      <c r="D110" s="4" t="n">
        <v>2750000</v>
      </c>
      <c r="E110" s="4" t="n">
        <v>2000000</v>
      </c>
      <c r="F110" s="4" t="n">
        <v>750000</v>
      </c>
      <c r="G110" s="4" t="n">
        <v>0</v>
      </c>
      <c r="H110" s="4" t="n">
        <v>0</v>
      </c>
    </row>
    <row r="111" ht="14.25" customHeight="1">
      <c r="A111" s="2" t="inlineStr">
        <is>
          <t>path 3</t>
        </is>
      </c>
      <c r="C111" s="4" t="n">
        <v>1675000</v>
      </c>
      <c r="D111" s="4" t="n">
        <v>1325000</v>
      </c>
      <c r="E111" s="4" t="n">
        <v>553000</v>
      </c>
      <c r="F111" s="4" t="n">
        <v>28000</v>
      </c>
      <c r="G111" s="4" t="n">
        <v>0</v>
      </c>
      <c r="H111" s="4" t="n">
        <v>0</v>
      </c>
    </row>
    <row r="112" ht="14.25" customHeight="1">
      <c r="A112" s="2" t="inlineStr">
        <is>
          <t>path 4</t>
        </is>
      </c>
      <c r="C112" s="4" t="n">
        <v>1775000</v>
      </c>
      <c r="D112" s="4" t="n">
        <v>945400</v>
      </c>
      <c r="E112" s="4" t="n">
        <v>645400</v>
      </c>
      <c r="F112" s="4" t="n">
        <v>600000</v>
      </c>
      <c r="G112" s="4" t="n">
        <v>0</v>
      </c>
      <c r="H112" s="4" t="n">
        <v>0</v>
      </c>
    </row>
    <row r="113" ht="14.25" customHeight="1">
      <c r="A113" s="2" t="inlineStr">
        <is>
          <t>path 5</t>
        </is>
      </c>
      <c r="C113" s="4" t="n">
        <v>870028.4090909091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</row>
    <row r="114" ht="14.25" customHeight="1"/>
    <row r="115" ht="14.25" customHeight="1"/>
    <row r="116" ht="14.25" customHeight="1">
      <c r="A116" s="2" t="inlineStr">
        <is>
          <t>EXPOSICION - DEAL4</t>
        </is>
      </c>
      <c r="C116" s="2" t="inlineStr">
        <is>
          <t>int1</t>
        </is>
      </c>
      <c r="D116" s="3" t="inlineStr">
        <is>
          <t>int2</t>
        </is>
      </c>
      <c r="E116" s="3" t="inlineStr">
        <is>
          <t>int3</t>
        </is>
      </c>
      <c r="F116" s="3" t="inlineStr">
        <is>
          <t>int4</t>
        </is>
      </c>
      <c r="G116" s="3" t="inlineStr">
        <is>
          <t>int5</t>
        </is>
      </c>
      <c r="H116" s="2" t="inlineStr">
        <is>
          <t>int6</t>
        </is>
      </c>
    </row>
    <row r="117" ht="14.25" customHeight="1">
      <c r="A117" s="2" t="inlineStr">
        <is>
          <t>path 0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</row>
    <row r="118" ht="14.25" customHeight="1">
      <c r="A118" s="2" t="inlineStr">
        <is>
          <t>path 1</t>
        </is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</row>
    <row r="119" ht="14.25" customHeight="1">
      <c r="A119" s="2" t="inlineStr">
        <is>
          <t>path 2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</row>
    <row r="120" ht="14.25" customHeight="1">
      <c r="A120" s="2" t="inlineStr">
        <is>
          <t>path 3</t>
        </is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</row>
    <row r="121" ht="14.25" customHeight="1">
      <c r="A121" s="2" t="inlineStr">
        <is>
          <t>path 4</t>
        </is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</row>
    <row r="122" ht="14.25" customHeight="1">
      <c r="A122" s="2" t="inlineStr">
        <is>
          <t>path 5</t>
        </is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</row>
    <row r="123" ht="14.25" customHeight="1"/>
    <row r="124" ht="14.25" customHeight="1"/>
    <row r="125" ht="14.25" customHeight="1">
      <c r="A125" s="13" t="inlineStr">
        <is>
          <t>EXPOSICION - TOTAL</t>
        </is>
      </c>
      <c r="B125" s="13" t="n"/>
      <c r="C125" s="13" t="inlineStr">
        <is>
          <t>int1</t>
        </is>
      </c>
      <c r="D125" s="13" t="inlineStr">
        <is>
          <t>int2</t>
        </is>
      </c>
      <c r="E125" s="13" t="inlineStr">
        <is>
          <t>int3</t>
        </is>
      </c>
      <c r="F125" s="13" t="inlineStr">
        <is>
          <t>int4</t>
        </is>
      </c>
      <c r="G125" s="13" t="inlineStr">
        <is>
          <t>int5</t>
        </is>
      </c>
      <c r="H125" s="13" t="inlineStr">
        <is>
          <t>int6</t>
        </is>
      </c>
    </row>
    <row r="126" ht="14.25" customHeight="1">
      <c r="A126" s="13" t="inlineStr">
        <is>
          <t>path 0</t>
        </is>
      </c>
      <c r="B126" s="13" t="n"/>
      <c r="C126" s="14" t="n">
        <v>3425000</v>
      </c>
      <c r="D126" s="14" t="n">
        <v>1875400</v>
      </c>
      <c r="E126" s="14" t="n">
        <v>645400</v>
      </c>
      <c r="F126" s="14" t="n">
        <v>112500</v>
      </c>
      <c r="G126" s="14" t="n">
        <v>38026.31578947369</v>
      </c>
      <c r="H126" s="14" t="n">
        <v>2393.617021276596</v>
      </c>
    </row>
    <row r="127" ht="14.25" customHeight="1">
      <c r="A127" s="13" t="inlineStr">
        <is>
          <t>path 1</t>
        </is>
      </c>
      <c r="B127" s="13" t="n"/>
      <c r="C127" s="14" t="n">
        <v>3925000</v>
      </c>
      <c r="D127" s="14" t="n">
        <v>3490500</v>
      </c>
      <c r="E127" s="14" t="n">
        <v>3570500</v>
      </c>
      <c r="F127" s="14" t="n">
        <v>3130000</v>
      </c>
      <c r="G127" s="14" t="n">
        <v>2750000</v>
      </c>
      <c r="H127" s="14" t="n">
        <v>2250000</v>
      </c>
    </row>
    <row r="128" ht="14.25" customHeight="1">
      <c r="A128" s="13" t="inlineStr">
        <is>
          <t>path 2</t>
        </is>
      </c>
      <c r="B128" s="13" t="n"/>
      <c r="C128" s="14" t="n">
        <v>4375000</v>
      </c>
      <c r="D128" s="14" t="n">
        <v>3580000</v>
      </c>
      <c r="E128" s="14" t="n">
        <v>2095000</v>
      </c>
      <c r="F128" s="14" t="n">
        <v>755232.5581395349</v>
      </c>
      <c r="G128" s="14" t="n">
        <v>0</v>
      </c>
      <c r="H128" s="14" t="n">
        <v>30000</v>
      </c>
    </row>
    <row r="129" ht="14.25" customHeight="1">
      <c r="A129" s="13" t="inlineStr">
        <is>
          <t>path 3</t>
        </is>
      </c>
      <c r="B129" s="13" t="n"/>
      <c r="C129" s="14" t="n">
        <v>2920019.920318725</v>
      </c>
      <c r="D129" s="14" t="n">
        <v>1332041.577686834</v>
      </c>
      <c r="E129" s="14" t="n">
        <v>574621.4543766957</v>
      </c>
      <c r="F129" s="14" t="n">
        <v>259241.935483871</v>
      </c>
      <c r="G129" s="14" t="n">
        <v>307000</v>
      </c>
      <c r="H129" s="14" t="n">
        <v>331250</v>
      </c>
    </row>
    <row r="130" ht="14.25" customHeight="1">
      <c r="A130" s="13" t="inlineStr">
        <is>
          <t>path 4</t>
        </is>
      </c>
      <c r="B130" s="13" t="n"/>
      <c r="C130" s="14" t="n">
        <v>3225050</v>
      </c>
      <c r="D130" s="14" t="n">
        <v>1130634.910900255</v>
      </c>
      <c r="E130" s="14" t="n">
        <v>660643.9024390244</v>
      </c>
      <c r="F130" s="14" t="n">
        <v>609191.1764705882</v>
      </c>
      <c r="G130" s="14" t="n">
        <v>87.71929824561403</v>
      </c>
      <c r="H130" s="14" t="n">
        <v>32000</v>
      </c>
    </row>
    <row r="131" ht="14.25" customHeight="1">
      <c r="A131" s="13" t="inlineStr">
        <is>
          <t>path 5</t>
        </is>
      </c>
      <c r="B131" s="13" t="n"/>
      <c r="C131" s="14" t="n">
        <v>3873236.597868014</v>
      </c>
      <c r="D131" s="14" t="n">
        <v>3475515</v>
      </c>
      <c r="E131" s="14" t="n">
        <v>2951300</v>
      </c>
      <c r="F131" s="14" t="n">
        <v>1762121.428571429</v>
      </c>
      <c r="G131" s="14" t="n">
        <v>1750050</v>
      </c>
      <c r="H131" s="14" t="n">
        <v>1400000</v>
      </c>
    </row>
    <row r="132" ht="14.25" customHeight="1"/>
    <row r="133" ht="14.25" customHeight="1"/>
    <row r="134" ht="14.25" customHeight="1"/>
    <row r="135" ht="14.25" customHeight="1">
      <c r="A135" t="inlineStr">
        <is>
          <t>AJUSTE DVA i,j</t>
        </is>
      </c>
      <c r="C135" s="2" t="inlineStr">
        <is>
          <t>int1</t>
        </is>
      </c>
      <c r="D135" s="3" t="inlineStr">
        <is>
          <t>int2</t>
        </is>
      </c>
      <c r="E135" s="3" t="inlineStr">
        <is>
          <t>int3</t>
        </is>
      </c>
      <c r="F135" s="3" t="inlineStr">
        <is>
          <t>int4</t>
        </is>
      </c>
      <c r="G135" s="3" t="inlineStr">
        <is>
          <t>int5</t>
        </is>
      </c>
      <c r="H135" s="2" t="inlineStr">
        <is>
          <t>int6</t>
        </is>
      </c>
      <c r="I135" t="inlineStr">
        <is>
          <t>DVA por Escenario</t>
        </is>
      </c>
    </row>
    <row r="136" ht="14.25" customHeight="1">
      <c r="A136" s="2" t="inlineStr">
        <is>
          <t>path 0</t>
        </is>
      </c>
      <c r="C136" t="n">
        <v>40894.50000000004</v>
      </c>
      <c r="D136" t="n">
        <v>8821.881600000008</v>
      </c>
      <c r="E136" t="n">
        <v>5285.826000000005</v>
      </c>
      <c r="F136" t="n">
        <v>852.9300000000007</v>
      </c>
      <c r="G136" t="n">
        <v>328.5473684210505</v>
      </c>
      <c r="H136" t="n">
        <v>12.27925531914895</v>
      </c>
      <c r="I136" t="n">
        <v>56195.96422374025</v>
      </c>
    </row>
    <row r="137" ht="14.25" customHeight="1">
      <c r="A137" s="2" t="inlineStr">
        <is>
          <t>path 1</t>
        </is>
      </c>
      <c r="C137" t="n">
        <v>46676.10000000004</v>
      </c>
      <c r="D137" t="n">
        <v>16469.57520000001</v>
      </c>
      <c r="E137" t="n">
        <v>29272.38720000003</v>
      </c>
      <c r="F137" t="n">
        <v>23705.99400000002</v>
      </c>
      <c r="G137" t="n">
        <v>23685.74999999985</v>
      </c>
      <c r="H137" t="n">
        <v>11421.00000000001</v>
      </c>
      <c r="I137" t="n">
        <v>151230.8063999999</v>
      </c>
    </row>
    <row r="138" ht="14.25" customHeight="1">
      <c r="A138" s="2" t="inlineStr">
        <is>
          <t>path 2</t>
        </is>
      </c>
      <c r="C138" t="n">
        <v>52290.00000000004</v>
      </c>
      <c r="D138" t="n">
        <v>16909.05600000002</v>
      </c>
      <c r="E138" t="n">
        <v>17246.04000000002</v>
      </c>
      <c r="F138" t="n">
        <v>5743.543604651168</v>
      </c>
      <c r="G138" t="n">
        <v>0</v>
      </c>
      <c r="H138" t="n">
        <v>155.6820000000001</v>
      </c>
      <c r="I138" t="n">
        <v>92344.32160465125</v>
      </c>
    </row>
    <row r="139" ht="14.25" customHeight="1">
      <c r="A139" s="2" t="inlineStr">
        <is>
          <t>path 3</t>
        </is>
      </c>
      <c r="C139" t="n">
        <v>34829.99760956178</v>
      </c>
      <c r="D139" t="n">
        <v>6265.923581438875</v>
      </c>
      <c r="E139" t="n">
        <v>4710.976531561905</v>
      </c>
      <c r="F139" t="n">
        <v>1963.446570967744</v>
      </c>
      <c r="G139" t="n">
        <v>2635.901999999982</v>
      </c>
      <c r="H139" t="n">
        <v>1699.312500000001</v>
      </c>
      <c r="I139" t="n">
        <v>52105.55879353029</v>
      </c>
    </row>
    <row r="140" ht="14.25" customHeight="1">
      <c r="A140" s="2" t="inlineStr">
        <is>
          <t>path 4</t>
        </is>
      </c>
      <c r="C140" t="n">
        <v>38623.19880000003</v>
      </c>
      <c r="D140" t="n">
        <v>5372.777096598013</v>
      </c>
      <c r="E140" t="n">
        <v>5443.970013658542</v>
      </c>
      <c r="F140" t="n">
        <v>4599.637058823533</v>
      </c>
      <c r="G140" t="n">
        <v>0.7578947368421003</v>
      </c>
      <c r="H140" t="n">
        <v>164.3328000000001</v>
      </c>
      <c r="I140" t="n">
        <v>54204.67366381697</v>
      </c>
    </row>
    <row r="141" ht="14.25" customHeight="1">
      <c r="A141" s="2" t="inlineStr">
        <is>
          <t>path 5</t>
        </is>
      </c>
      <c r="C141" t="n">
        <v>46432.36033524178</v>
      </c>
      <c r="D141" t="n">
        <v>16465.59986400001</v>
      </c>
      <c r="E141" t="n">
        <v>24319.89252000002</v>
      </c>
      <c r="F141" t="n">
        <v>13442.1671057143</v>
      </c>
      <c r="G141" t="n">
        <v>15293.6869499999</v>
      </c>
      <c r="H141" t="n">
        <v>7272.720000000006</v>
      </c>
      <c r="I141" t="n">
        <v>123226.426774956</v>
      </c>
    </row>
    <row r="142" ht="14.25" customHeight="1"/>
    <row r="143" ht="14.25" customHeight="1"/>
    <row r="144" ht="14.25" customHeight="1">
      <c r="A144" t="inlineStr">
        <is>
          <t>DVA TOTAL PORTFOLIO</t>
        </is>
      </c>
      <c r="I144" s="12" t="n">
        <v>88217.95857678245</v>
      </c>
    </row>
    <row r="145" ht="14.25" customHeight="1">
      <c r="A145" s="15" t="inlineStr">
        <is>
          <t>Mi perfil de riesgo es ligeramente superior al de la contrapartida, lo que resulta en un ajuste neto positivo en la valoracion del portfolio</t>
        </is>
      </c>
    </row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65"/>
  <sheetViews>
    <sheetView workbookViewId="0">
      <selection activeCell="A1" sqref="A1:H8"/>
    </sheetView>
  </sheetViews>
  <sheetFormatPr baseColWidth="8" defaultRowHeight="15"/>
  <cols>
    <col width="41.42578125" customWidth="1" min="1" max="1"/>
    <col width="22.85546875" customWidth="1" min="2" max="2"/>
    <col width="14.42578125" customWidth="1" min="3" max="3"/>
    <col width="15" customWidth="1" min="4" max="4"/>
    <col width="12.5703125" customWidth="1" min="5" max="5"/>
    <col width="14" customWidth="1" min="6" max="6"/>
    <col width="15.42578125" customWidth="1" min="7" max="7"/>
    <col width="16.28515625" customWidth="1" min="8" max="8"/>
    <col width="18.5703125" customWidth="1" min="9" max="9"/>
  </cols>
  <sheetData>
    <row r="2" ht="30.75" customHeight="1">
      <c r="A2" s="15" t="inlineStr">
        <is>
          <t>Simulaciones del valor presente del derivado NET (RISK Free)</t>
        </is>
      </c>
      <c r="B2" s="19" t="n">
        <v>46023</v>
      </c>
      <c r="C2" s="19" t="n">
        <v>46054</v>
      </c>
      <c r="D2" s="19" t="n">
        <v>46082</v>
      </c>
      <c r="E2" s="19" t="n">
        <v>46113</v>
      </c>
      <c r="F2" s="19" t="n">
        <v>46143</v>
      </c>
      <c r="G2" s="19" t="n">
        <v>46174</v>
      </c>
      <c r="H2" s="19" t="n">
        <v>46204</v>
      </c>
    </row>
    <row r="3">
      <c r="A3" s="2" t="inlineStr">
        <is>
          <t>path 0</t>
        </is>
      </c>
      <c r="B3" s="16" t="n">
        <v>250000</v>
      </c>
      <c r="C3" s="16" t="n">
        <v>-86000</v>
      </c>
      <c r="D3" s="16" t="n">
        <v>1199700</v>
      </c>
      <c r="E3" s="16" t="n">
        <v>-109500</v>
      </c>
      <c r="F3" s="16" t="n">
        <v>315000</v>
      </c>
      <c r="G3" s="16" t="n">
        <v>42000</v>
      </c>
      <c r="H3" s="16" t="n">
        <v>20000</v>
      </c>
      <c r="I3" s="19" t="n"/>
    </row>
    <row r="4">
      <c r="A4" s="2" t="inlineStr">
        <is>
          <t>path 1</t>
        </is>
      </c>
      <c r="B4" s="16" t="n">
        <v>250000</v>
      </c>
      <c r="C4" s="16" t="n">
        <v>800000</v>
      </c>
      <c r="D4" s="16" t="n">
        <v>119000</v>
      </c>
      <c r="E4" s="16" t="n">
        <v>-3260000</v>
      </c>
      <c r="F4" s="16" t="n">
        <v>-2050000</v>
      </c>
      <c r="G4" s="16" t="n">
        <v>-2400000</v>
      </c>
      <c r="H4" s="16" t="n">
        <v>-1479500</v>
      </c>
    </row>
    <row r="5">
      <c r="A5" s="2" t="inlineStr">
        <is>
          <t>path 2</t>
        </is>
      </c>
      <c r="B5" s="16" t="n">
        <v>250000</v>
      </c>
      <c r="C5" s="16" t="n">
        <v>-1498500</v>
      </c>
      <c r="D5" s="16" t="n">
        <v>-504000</v>
      </c>
      <c r="E5" s="16" t="n">
        <v>-80000</v>
      </c>
      <c r="F5" s="16" t="n">
        <v>1856000</v>
      </c>
      <c r="G5" s="16" t="n">
        <v>1020000</v>
      </c>
      <c r="H5" s="16" t="n">
        <v>230000</v>
      </c>
    </row>
    <row r="6">
      <c r="A6" s="2" t="inlineStr">
        <is>
          <t>path 3</t>
        </is>
      </c>
      <c r="B6" s="16" t="n">
        <v>250000</v>
      </c>
      <c r="C6" s="16" t="n">
        <v>-930000</v>
      </c>
      <c r="D6" s="16" t="n">
        <v>-684980</v>
      </c>
      <c r="E6" s="16" t="n">
        <v>13000</v>
      </c>
      <c r="F6" s="16" t="n">
        <v>-504000</v>
      </c>
      <c r="G6" s="16" t="n">
        <v>-110000</v>
      </c>
      <c r="H6" s="16" t="n">
        <v>-530000</v>
      </c>
    </row>
    <row r="7">
      <c r="A7" s="2" t="inlineStr">
        <is>
          <t>path 4</t>
        </is>
      </c>
      <c r="B7" s="16" t="n">
        <v>250000</v>
      </c>
      <c r="C7" s="16" t="n">
        <v>899900</v>
      </c>
      <c r="D7" s="16" t="n">
        <v>2952200</v>
      </c>
      <c r="E7" s="16" t="n">
        <v>-1244000</v>
      </c>
      <c r="F7" s="16" t="n">
        <v>646000</v>
      </c>
      <c r="G7" s="16" t="n">
        <v>240000</v>
      </c>
      <c r="H7" s="16" t="n">
        <v>-24000</v>
      </c>
    </row>
    <row r="8">
      <c r="A8" s="2" t="inlineStr">
        <is>
          <t>path 5</t>
        </is>
      </c>
      <c r="B8" s="16" t="n">
        <v>250000</v>
      </c>
      <c r="C8" s="16" t="n">
        <v>-1590430</v>
      </c>
      <c r="D8" s="16" t="n">
        <v>-1050600</v>
      </c>
      <c r="E8" s="16" t="n">
        <v>-2522000</v>
      </c>
      <c r="F8" s="16" t="n">
        <v>-940100</v>
      </c>
      <c r="G8" s="16" t="n">
        <v>-2420000</v>
      </c>
      <c r="H8" s="16" t="n">
        <v>200000</v>
      </c>
    </row>
    <row r="9">
      <c r="A9" s="2" t="n"/>
    </row>
    <row r="17">
      <c r="A17" s="11" t="inlineStr">
        <is>
          <t xml:space="preserve">EXPOSICION + NET </t>
        </is>
      </c>
      <c r="C17" s="2" t="inlineStr">
        <is>
          <t>int1</t>
        </is>
      </c>
      <c r="D17" s="3" t="inlineStr">
        <is>
          <t>int2</t>
        </is>
      </c>
      <c r="E17" s="3" t="inlineStr">
        <is>
          <t>int3</t>
        </is>
      </c>
      <c r="F17" s="3" t="inlineStr">
        <is>
          <t>int4</t>
        </is>
      </c>
      <c r="G17" s="3" t="inlineStr">
        <is>
          <t>int5</t>
        </is>
      </c>
      <c r="H17" s="2" t="inlineStr">
        <is>
          <t>int6</t>
        </is>
      </c>
    </row>
    <row r="18">
      <c r="A18" s="2" t="inlineStr">
        <is>
          <t>path 0</t>
        </is>
      </c>
      <c r="C18" s="2" t="n">
        <v>93005.95238095238</v>
      </c>
      <c r="D18" s="2" t="n">
        <v>559726.254180602</v>
      </c>
      <c r="E18" s="2" t="n">
        <v>549679.2277726856</v>
      </c>
      <c r="F18" s="2" t="n">
        <v>116872.7915194346</v>
      </c>
      <c r="G18" s="2" t="n">
        <v>178500</v>
      </c>
      <c r="H18" s="2" t="n">
        <v>31000</v>
      </c>
    </row>
    <row r="19">
      <c r="A19" s="2" t="inlineStr">
        <is>
          <t>path 1</t>
        </is>
      </c>
      <c r="C19" s="2" t="n">
        <v>525000</v>
      </c>
      <c r="D19" s="2" t="n">
        <v>459500</v>
      </c>
      <c r="E19" s="2" t="n">
        <v>2095.442438591299</v>
      </c>
      <c r="F19" s="2" t="n">
        <v>0</v>
      </c>
      <c r="G19" s="2" t="n">
        <v>0</v>
      </c>
      <c r="H19" s="2" t="n">
        <v>0</v>
      </c>
    </row>
    <row r="20">
      <c r="A20" s="2" t="inlineStr">
        <is>
          <t>path 2</t>
        </is>
      </c>
      <c r="C20" s="2" t="n">
        <v>17872.46211038033</v>
      </c>
      <c r="D20" s="2" t="n">
        <v>0</v>
      </c>
      <c r="E20" s="2" t="n">
        <v>0</v>
      </c>
      <c r="F20" s="2" t="n">
        <v>889652.8925619835</v>
      </c>
      <c r="G20" s="2" t="n">
        <v>1438000</v>
      </c>
      <c r="H20" s="2" t="n">
        <v>625000</v>
      </c>
    </row>
    <row r="21">
      <c r="A21" s="2" t="inlineStr">
        <is>
          <t>path 3</t>
        </is>
      </c>
      <c r="C21" s="2" t="n">
        <v>26483.05084745763</v>
      </c>
      <c r="D21" s="2" t="n">
        <v>0</v>
      </c>
      <c r="E21" s="2" t="n">
        <v>121.0636407919998</v>
      </c>
      <c r="F21" s="2" t="n">
        <v>163.4429400386847</v>
      </c>
      <c r="G21" s="2" t="n">
        <v>0</v>
      </c>
      <c r="H21" s="2" t="n">
        <v>0</v>
      </c>
    </row>
    <row r="22">
      <c r="A22" s="2" t="inlineStr">
        <is>
          <t>path 4</t>
        </is>
      </c>
      <c r="C22" s="2" t="n">
        <v>574950</v>
      </c>
      <c r="D22" s="2" t="n">
        <v>1926050</v>
      </c>
      <c r="E22" s="2" t="n">
        <v>1038497.311853582</v>
      </c>
      <c r="F22" s="2" t="n">
        <v>110401.0582010582</v>
      </c>
      <c r="G22" s="2" t="n">
        <v>443000</v>
      </c>
      <c r="H22" s="2" t="n">
        <v>109090.9090909091</v>
      </c>
    </row>
    <row r="23">
      <c r="A23" s="2" t="inlineStr">
        <is>
          <t>path 5</t>
        </is>
      </c>
      <c r="C23" s="2" t="n">
        <v>16979.72756366719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7633.587786259543</v>
      </c>
    </row>
    <row r="28">
      <c r="A28" t="inlineStr">
        <is>
          <t>Matriz de Ajuste CVA net</t>
        </is>
      </c>
      <c r="C28" s="2" t="inlineStr">
        <is>
          <t>int1</t>
        </is>
      </c>
      <c r="D28" s="3" t="inlineStr">
        <is>
          <t>int2</t>
        </is>
      </c>
      <c r="E28" s="3" t="inlineStr">
        <is>
          <t>int3</t>
        </is>
      </c>
      <c r="F28" s="3" t="inlineStr">
        <is>
          <t>int4</t>
        </is>
      </c>
      <c r="G28" s="3" t="inlineStr">
        <is>
          <t>int5</t>
        </is>
      </c>
      <c r="H28" s="2" t="inlineStr">
        <is>
          <t>int6</t>
        </is>
      </c>
      <c r="I28" t="inlineStr">
        <is>
          <t>CVA por escenario</t>
        </is>
      </c>
    </row>
    <row r="29">
      <c r="A29" s="2" t="inlineStr">
        <is>
          <t>path 0</t>
        </is>
      </c>
      <c r="C29" t="n">
        <v>1082.728794642858</v>
      </c>
      <c r="D29" t="n">
        <v>2468.392780936457</v>
      </c>
      <c r="E29" t="n">
        <v>5788.122268446384</v>
      </c>
      <c r="F29" t="n">
        <v>1022.403180212009</v>
      </c>
      <c r="G29" t="n">
        <v>1542.240000000001</v>
      </c>
      <c r="H29" t="n">
        <v>212.0400000000001</v>
      </c>
      <c r="I29" t="n">
        <v>12115.92702423771</v>
      </c>
    </row>
    <row r="30">
      <c r="A30" s="2" t="inlineStr">
        <is>
          <t>path 1</t>
        </is>
      </c>
      <c r="C30" t="n">
        <v>6087.217500000004</v>
      </c>
      <c r="D30" t="n">
        <v>2032.598250000001</v>
      </c>
      <c r="E30" t="n">
        <v>22.08763965670319</v>
      </c>
      <c r="F30" t="n">
        <v>0</v>
      </c>
      <c r="G30" t="n">
        <v>0</v>
      </c>
      <c r="H30" t="n">
        <v>0</v>
      </c>
      <c r="I30" t="n">
        <v>8141.903389656708</v>
      </c>
    </row>
    <row r="31">
      <c r="A31" s="2" t="inlineStr">
        <is>
          <t>path 2</t>
        </is>
      </c>
      <c r="C31" t="n">
        <v>208.2713754646842</v>
      </c>
      <c r="D31" t="n">
        <v>0</v>
      </c>
      <c r="E31" t="n">
        <v>0</v>
      </c>
      <c r="F31" t="n">
        <v>7806.704132231368</v>
      </c>
      <c r="G31" t="n">
        <v>12476.08800000001</v>
      </c>
      <c r="H31" t="n">
        <v>4324.500000000004</v>
      </c>
      <c r="I31" t="n">
        <v>24815.56350769606</v>
      </c>
    </row>
    <row r="32">
      <c r="A32" s="2" t="inlineStr">
        <is>
          <t>path 3</t>
        </is>
      </c>
      <c r="C32" t="n">
        <v>307.9925847457629</v>
      </c>
      <c r="D32" t="n">
        <v>0</v>
      </c>
      <c r="E32" t="n">
        <v>1.276107624860312</v>
      </c>
      <c r="F32" t="n">
        <v>1.428327852998059</v>
      </c>
      <c r="G32" t="n">
        <v>0</v>
      </c>
      <c r="H32" t="n">
        <v>0</v>
      </c>
      <c r="I32" t="n">
        <v>310.6970202236213</v>
      </c>
    </row>
    <row r="33">
      <c r="A33" s="2" t="inlineStr">
        <is>
          <t>path 4</t>
        </is>
      </c>
      <c r="C33" t="n">
        <v>6713.461170000005</v>
      </c>
      <c r="D33" t="n">
        <v>8580.552750000006</v>
      </c>
      <c r="E33" t="n">
        <v>11002.67131962634</v>
      </c>
      <c r="F33" t="n">
        <v>961.8140190476145</v>
      </c>
      <c r="G33" t="n">
        <v>3827.520000000003</v>
      </c>
      <c r="H33" t="n">
        <v>746.9672727272733</v>
      </c>
      <c r="I33" t="n">
        <v>31832.98653140124</v>
      </c>
    </row>
    <row r="34">
      <c r="A34" s="2" t="inlineStr">
        <is>
          <t>path 5</t>
        </is>
      </c>
      <c r="C34" t="n">
        <v>198.4641496824113</v>
      </c>
      <c r="D34" t="n">
        <v>0</v>
      </c>
      <c r="E34" t="n">
        <v>0</v>
      </c>
      <c r="F34" t="n">
        <v>0</v>
      </c>
      <c r="G34" t="n">
        <v>0</v>
      </c>
      <c r="H34" t="n">
        <v>52.87328244274813</v>
      </c>
      <c r="I34" t="n">
        <v>251.3374321251595</v>
      </c>
    </row>
    <row r="37" ht="30.75" customHeight="1">
      <c r="A37" t="inlineStr">
        <is>
          <t>CVA total (Netting)</t>
        </is>
      </c>
      <c r="I37" s="17" t="n">
        <v>12911.40248422342</v>
      </c>
    </row>
    <row r="38">
      <c r="A38" s="11" t="n"/>
    </row>
    <row r="44">
      <c r="A44" s="11" t="inlineStr">
        <is>
          <t xml:space="preserve">EXPOSICION - NET </t>
        </is>
      </c>
      <c r="C44" s="2" t="inlineStr">
        <is>
          <t>int1</t>
        </is>
      </c>
      <c r="D44" s="3" t="inlineStr">
        <is>
          <t>int2</t>
        </is>
      </c>
      <c r="E44" s="3" t="inlineStr">
        <is>
          <t>int3</t>
        </is>
      </c>
      <c r="F44" s="3" t="inlineStr">
        <is>
          <t>int4</t>
        </is>
      </c>
      <c r="G44" s="3" t="inlineStr">
        <is>
          <t>int5</t>
        </is>
      </c>
      <c r="H44" s="2" t="inlineStr">
        <is>
          <t>int6</t>
        </is>
      </c>
    </row>
    <row r="45">
      <c r="A45" s="2" t="inlineStr">
        <is>
          <t>path 0</t>
        </is>
      </c>
      <c r="C45" t="n">
        <v>11005.95238095238</v>
      </c>
      <c r="D45" t="n">
        <v>2876.254180602007</v>
      </c>
      <c r="E45" t="n">
        <v>4579.227772685609</v>
      </c>
      <c r="F45" t="n">
        <v>14122.79151943463</v>
      </c>
      <c r="G45" t="n">
        <v>0</v>
      </c>
      <c r="H45" t="n">
        <v>0</v>
      </c>
    </row>
    <row r="46">
      <c r="A46" s="2" t="inlineStr">
        <is>
          <t>path 1</t>
        </is>
      </c>
      <c r="C46" t="n">
        <v>0</v>
      </c>
      <c r="D46" t="n">
        <v>0</v>
      </c>
      <c r="E46" t="n">
        <v>1572595.442438591</v>
      </c>
      <c r="F46" t="n">
        <v>2655000</v>
      </c>
      <c r="G46" t="n">
        <v>2225000</v>
      </c>
      <c r="H46" t="n">
        <v>1939750</v>
      </c>
    </row>
    <row r="47">
      <c r="A47" s="2" t="inlineStr">
        <is>
          <t>path 2</t>
        </is>
      </c>
      <c r="C47" t="n">
        <v>642122.4621103804</v>
      </c>
      <c r="D47" t="n">
        <v>1001250</v>
      </c>
      <c r="E47" t="n">
        <v>292000</v>
      </c>
      <c r="F47" t="n">
        <v>1652.892561983471</v>
      </c>
      <c r="G47" t="n">
        <v>0</v>
      </c>
      <c r="H47" t="n">
        <v>0</v>
      </c>
    </row>
    <row r="48">
      <c r="A48" s="2" t="inlineStr">
        <is>
          <t>path 3</t>
        </is>
      </c>
      <c r="C48" t="n">
        <v>366483.0508474576</v>
      </c>
      <c r="D48" t="n">
        <v>807490</v>
      </c>
      <c r="E48" t="n">
        <v>336111.063640792</v>
      </c>
      <c r="F48" t="n">
        <v>245663.4429400387</v>
      </c>
      <c r="G48" t="n">
        <v>307000</v>
      </c>
      <c r="H48" t="n">
        <v>320000</v>
      </c>
    </row>
    <row r="49">
      <c r="A49" s="2" t="inlineStr">
        <is>
          <t>path 4</t>
        </is>
      </c>
      <c r="C49" t="n">
        <v>0</v>
      </c>
      <c r="D49" t="n">
        <v>0</v>
      </c>
      <c r="E49" t="n">
        <v>184397.3118535818</v>
      </c>
      <c r="F49" t="n">
        <v>409401.0582010582</v>
      </c>
      <c r="G49" t="n">
        <v>0</v>
      </c>
      <c r="H49" t="n">
        <v>1090.909090909091</v>
      </c>
    </row>
    <row r="50">
      <c r="A50" s="2" t="inlineStr">
        <is>
          <t>path 5</t>
        </is>
      </c>
      <c r="C50" t="n">
        <v>687194.7275636672</v>
      </c>
      <c r="D50" t="n">
        <v>1320515</v>
      </c>
      <c r="E50" t="n">
        <v>1786300</v>
      </c>
      <c r="F50" t="n">
        <v>1731050</v>
      </c>
      <c r="G50" t="n">
        <v>1680050</v>
      </c>
      <c r="H50" t="n">
        <v>1117633.58778626</v>
      </c>
    </row>
    <row r="54">
      <c r="A54" t="inlineStr">
        <is>
          <t>Matriz de Ajuste DVA net</t>
        </is>
      </c>
      <c r="C54" s="2" t="inlineStr">
        <is>
          <t>int1</t>
        </is>
      </c>
      <c r="D54" s="3" t="inlineStr">
        <is>
          <t>int2</t>
        </is>
      </c>
      <c r="E54" s="3" t="inlineStr">
        <is>
          <t>int3</t>
        </is>
      </c>
      <c r="F54" s="3" t="inlineStr">
        <is>
          <t>int4</t>
        </is>
      </c>
      <c r="G54" s="3" t="inlineStr">
        <is>
          <t>int5</t>
        </is>
      </c>
      <c r="H54" s="2" t="inlineStr">
        <is>
          <t>int6</t>
        </is>
      </c>
      <c r="I54" t="inlineStr">
        <is>
          <t>DVA por escenario</t>
        </is>
      </c>
    </row>
    <row r="55">
      <c r="A55" s="2" t="inlineStr">
        <is>
          <t>path 0</t>
        </is>
      </c>
      <c r="C55" s="11" t="n">
        <v>131.4110714285715</v>
      </c>
      <c r="D55" s="11" t="n">
        <v>13.52989966555185</v>
      </c>
      <c r="E55" s="11" t="n">
        <v>37.50387545829517</v>
      </c>
      <c r="F55" s="11" t="n">
        <v>107.0733561837457</v>
      </c>
      <c r="G55" s="11" t="n">
        <v>0</v>
      </c>
      <c r="H55" s="11" t="n">
        <v>0</v>
      </c>
      <c r="I55" s="11" t="n">
        <v>289.5182027361642</v>
      </c>
    </row>
    <row r="56">
      <c r="A56" s="2" t="inlineStr">
        <is>
          <t>path 1</t>
        </is>
      </c>
      <c r="C56" s="11" t="n">
        <v>0</v>
      </c>
      <c r="D56" s="11" t="n">
        <v>0</v>
      </c>
      <c r="E56" s="11" t="n">
        <v>12892.76647528856</v>
      </c>
      <c r="F56" s="11" t="n">
        <v>20108.43900000002</v>
      </c>
      <c r="G56" s="11" t="n">
        <v>19163.92499999988</v>
      </c>
      <c r="H56" s="11" t="n">
        <v>9846.171000000008</v>
      </c>
      <c r="I56" s="11" t="n">
        <v>62011.30147528846</v>
      </c>
    </row>
    <row r="57">
      <c r="A57" s="2" t="inlineStr">
        <is>
          <t>path 2</t>
        </is>
      </c>
      <c r="C57" s="11" t="n">
        <v>7674.647667143273</v>
      </c>
      <c r="D57" s="11" t="n">
        <v>4729.104000000005</v>
      </c>
      <c r="E57" s="11" t="n">
        <v>2403.744000000002</v>
      </c>
      <c r="F57" s="11" t="n">
        <v>12.57024793388431</v>
      </c>
      <c r="G57" s="11" t="n">
        <v>0</v>
      </c>
      <c r="H57" s="11" t="n">
        <v>0</v>
      </c>
      <c r="I57" s="11" t="n">
        <v>14820.06591507717</v>
      </c>
    </row>
    <row r="58">
      <c r="A58" s="2" t="inlineStr">
        <is>
          <t>path 3</t>
        </is>
      </c>
      <c r="C58" s="11" t="n">
        <v>4371.409830508478</v>
      </c>
      <c r="D58" s="11" t="n">
        <v>3798.432960000003</v>
      </c>
      <c r="E58" s="11" t="n">
        <v>2755.572944152671</v>
      </c>
      <c r="F58" s="11" t="n">
        <v>1860.605784139266</v>
      </c>
      <c r="G58" s="11" t="n">
        <v>2635.901999999982</v>
      </c>
      <c r="H58" s="11" t="n">
        <v>1641.600000000002</v>
      </c>
      <c r="I58" s="11" t="n">
        <v>17063.5235188004</v>
      </c>
    </row>
    <row r="59">
      <c r="A59" s="2" t="inlineStr">
        <is>
          <t>path 4</t>
        </is>
      </c>
      <c r="C59" s="11" t="n">
        <v>0</v>
      </c>
      <c r="D59" s="11" t="n">
        <v>0</v>
      </c>
      <c r="E59" s="11" t="n">
        <v>1519.507608598257</v>
      </c>
      <c r="F59" s="11" t="n">
        <v>3091.141749841273</v>
      </c>
      <c r="G59" s="11" t="n">
        <v>0</v>
      </c>
      <c r="H59" s="11" t="n">
        <v>5.602254545454551</v>
      </c>
      <c r="I59" s="11" t="n">
        <v>4616.251612984984</v>
      </c>
    </row>
    <row r="60">
      <c r="A60" s="2" t="inlineStr">
        <is>
          <t>path 5</t>
        </is>
      </c>
      <c r="C60" s="11" t="n">
        <v>8238.09039403325</v>
      </c>
      <c r="D60" s="11" t="n">
        <v>6256.071864000005</v>
      </c>
      <c r="E60" s="11" t="n">
        <v>14719.82652000001</v>
      </c>
      <c r="F60" s="11" t="n">
        <v>13205.14182000001</v>
      </c>
      <c r="G60" s="11" t="n">
        <v>14681.9569499999</v>
      </c>
      <c r="H60" s="11" t="n">
        <v>5805.882961832066</v>
      </c>
      <c r="I60" s="11" t="n">
        <v>62906.97050986525</v>
      </c>
    </row>
    <row r="62">
      <c r="D62" s="11" t="n"/>
    </row>
    <row r="63">
      <c r="A63" t="inlineStr">
        <is>
          <t>DVA total (Netting)</t>
        </is>
      </c>
      <c r="I63" s="12" t="n">
        <v>26951.27187245874</v>
      </c>
    </row>
    <row r="65">
      <c r="C65" s="1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I60"/>
  <sheetViews>
    <sheetView topLeftCell="A9" workbookViewId="0">
      <selection activeCell="A30" sqref="A30:I40"/>
    </sheetView>
  </sheetViews>
  <sheetFormatPr baseColWidth="8" defaultRowHeight="15"/>
  <cols>
    <col width="27.28515625" customWidth="1" min="1" max="1"/>
    <col width="14.28515625" customWidth="1" min="2" max="2"/>
    <col width="15.7109375" customWidth="1" min="3" max="3"/>
    <col width="15.42578125" customWidth="1" min="4" max="4"/>
    <col width="13" customWidth="1" min="5" max="5"/>
    <col width="17.5703125" customWidth="1" min="6" max="6"/>
    <col width="16.85546875" customWidth="1" min="7" max="7"/>
    <col width="16.28515625" customWidth="1" min="8" max="8"/>
    <col width="23.42578125" customWidth="1" min="9" max="9"/>
  </cols>
  <sheetData>
    <row r="2" ht="121.5" customHeight="1">
      <c r="A2" s="15" t="inlineStr">
        <is>
          <t>Simulaciones del valor presente del derivado NET (RISK Free)</t>
        </is>
      </c>
      <c r="B2" s="19" t="n">
        <v>46023</v>
      </c>
      <c r="C2" s="19" t="n">
        <v>46054</v>
      </c>
      <c r="D2" s="19" t="n">
        <v>46082</v>
      </c>
      <c r="E2" s="19" t="n">
        <v>46113</v>
      </c>
      <c r="F2" s="19" t="n">
        <v>46143</v>
      </c>
      <c r="G2" s="19" t="n">
        <v>46174</v>
      </c>
      <c r="H2" s="19" t="n">
        <v>46204</v>
      </c>
    </row>
    <row r="3">
      <c r="A3" s="2" t="inlineStr">
        <is>
          <t>path 0</t>
        </is>
      </c>
      <c r="B3" s="16" t="n">
        <v>250000</v>
      </c>
      <c r="C3" s="16" t="n">
        <v>-86000</v>
      </c>
      <c r="D3" s="16" t="n">
        <v>1199700</v>
      </c>
      <c r="E3" s="16" t="n">
        <v>-109500</v>
      </c>
      <c r="F3" s="16" t="n">
        <v>315000</v>
      </c>
      <c r="G3" s="16" t="n">
        <v>42000</v>
      </c>
      <c r="H3" s="16" t="n">
        <v>20000</v>
      </c>
    </row>
    <row r="4">
      <c r="A4" s="2" t="inlineStr">
        <is>
          <t>path 1</t>
        </is>
      </c>
      <c r="B4" s="16" t="n">
        <v>250000</v>
      </c>
      <c r="C4" s="16" t="n">
        <v>800000</v>
      </c>
      <c r="D4" s="16" t="n">
        <v>119000</v>
      </c>
      <c r="E4" s="16" t="n">
        <v>-3260000</v>
      </c>
      <c r="F4" s="16" t="n">
        <v>-2050000</v>
      </c>
      <c r="G4" s="16" t="n">
        <v>-2400000</v>
      </c>
      <c r="H4" s="16" t="n">
        <v>-1479500</v>
      </c>
    </row>
    <row r="5">
      <c r="A5" s="2" t="inlineStr">
        <is>
          <t>path 2</t>
        </is>
      </c>
      <c r="B5" s="16" t="n">
        <v>250000</v>
      </c>
      <c r="C5" s="16" t="n">
        <v>-1498500</v>
      </c>
      <c r="D5" s="16" t="n">
        <v>-504000</v>
      </c>
      <c r="E5" s="16" t="n">
        <v>-80000</v>
      </c>
      <c r="F5" s="16" t="n">
        <v>1856000</v>
      </c>
      <c r="G5" s="16" t="n">
        <v>1020000</v>
      </c>
      <c r="H5" s="16" t="n">
        <v>230000</v>
      </c>
    </row>
    <row r="6">
      <c r="A6" s="2" t="inlineStr">
        <is>
          <t>path 3</t>
        </is>
      </c>
      <c r="B6" s="16" t="n">
        <v>250000</v>
      </c>
      <c r="C6" s="16" t="n">
        <v>-930000</v>
      </c>
      <c r="D6" s="16" t="n">
        <v>-684980</v>
      </c>
      <c r="E6" s="16" t="n">
        <v>13000</v>
      </c>
      <c r="F6" s="16" t="n">
        <v>-504000</v>
      </c>
      <c r="G6" s="16" t="n">
        <v>-110000</v>
      </c>
      <c r="H6" s="16" t="n">
        <v>-530000</v>
      </c>
    </row>
    <row r="7">
      <c r="A7" s="2" t="inlineStr">
        <is>
          <t>path 4</t>
        </is>
      </c>
      <c r="B7" s="16" t="n">
        <v>250000</v>
      </c>
      <c r="C7" s="16" t="n">
        <v>899900</v>
      </c>
      <c r="D7" s="16" t="n">
        <v>2952200</v>
      </c>
      <c r="E7" s="16" t="n">
        <v>-1244000</v>
      </c>
      <c r="F7" s="16" t="n">
        <v>646000</v>
      </c>
      <c r="G7" s="16" t="n">
        <v>240000</v>
      </c>
      <c r="H7" s="16" t="n">
        <v>-24000</v>
      </c>
    </row>
    <row r="8">
      <c r="A8" s="2" t="inlineStr">
        <is>
          <t>path 5</t>
        </is>
      </c>
      <c r="B8" s="16" t="n">
        <v>250000</v>
      </c>
      <c r="C8" s="16" t="n">
        <v>-1590430</v>
      </c>
      <c r="D8" s="16" t="n">
        <v>-1050600</v>
      </c>
      <c r="E8" s="16" t="n">
        <v>-2522000</v>
      </c>
      <c r="F8" s="16" t="n">
        <v>-940100</v>
      </c>
      <c r="G8" s="16" t="n">
        <v>-2420000</v>
      </c>
      <c r="H8" s="16" t="n">
        <v>200000</v>
      </c>
    </row>
    <row r="11">
      <c r="A11" t="inlineStr">
        <is>
          <t>Cuenta de Colateral</t>
        </is>
      </c>
      <c r="B11" s="19" t="n">
        <v>46023</v>
      </c>
      <c r="C11" s="19" t="n">
        <v>46054</v>
      </c>
      <c r="D11" s="19" t="n">
        <v>46082</v>
      </c>
      <c r="E11" s="19" t="n">
        <v>46113</v>
      </c>
      <c r="F11" s="19" t="n">
        <v>46143</v>
      </c>
      <c r="G11" s="19" t="n">
        <v>46174</v>
      </c>
      <c r="H11" s="19" t="n">
        <v>46204</v>
      </c>
    </row>
    <row r="12">
      <c r="A12" s="2" t="inlineStr">
        <is>
          <t>path 0</t>
        </is>
      </c>
      <c r="B12" t="n">
        <v>0</v>
      </c>
      <c r="C12" s="15" t="n">
        <v>0</v>
      </c>
      <c r="D12" s="15" t="n">
        <v>1099700</v>
      </c>
      <c r="E12" s="15" t="n">
        <v>0</v>
      </c>
      <c r="F12" s="15" t="n">
        <v>215000</v>
      </c>
      <c r="G12" s="15" t="n">
        <v>0</v>
      </c>
      <c r="H12" s="15" t="n">
        <v>0</v>
      </c>
    </row>
    <row r="13">
      <c r="A13" s="2" t="inlineStr">
        <is>
          <t>path 1</t>
        </is>
      </c>
      <c r="B13" t="n">
        <v>0</v>
      </c>
      <c r="C13" s="15" t="n">
        <v>700000</v>
      </c>
      <c r="D13" s="15" t="n">
        <v>19000</v>
      </c>
      <c r="E13" s="15" t="n">
        <v>19000</v>
      </c>
      <c r="F13" s="15" t="n">
        <v>19000</v>
      </c>
      <c r="G13" s="15" t="n">
        <v>19000</v>
      </c>
      <c r="H13" s="15" t="n">
        <v>19000</v>
      </c>
    </row>
    <row r="14">
      <c r="A14" s="2" t="inlineStr">
        <is>
          <t>path 2</t>
        </is>
      </c>
      <c r="B14" t="n">
        <v>0</v>
      </c>
      <c r="C14" s="15" t="n">
        <v>0</v>
      </c>
      <c r="D14" s="15" t="n">
        <v>0</v>
      </c>
      <c r="E14" s="15" t="n">
        <v>0</v>
      </c>
      <c r="F14" s="15" t="n">
        <v>1756000</v>
      </c>
      <c r="G14" s="15" t="n">
        <v>920000</v>
      </c>
      <c r="H14" s="15" t="n">
        <v>130000</v>
      </c>
    </row>
    <row r="15">
      <c r="A15" s="2" t="inlineStr">
        <is>
          <t>path 3</t>
        </is>
      </c>
      <c r="B15" t="n">
        <v>0</v>
      </c>
      <c r="C15" s="15" t="n">
        <v>0</v>
      </c>
      <c r="D15" s="15" t="n">
        <v>0</v>
      </c>
      <c r="E15" s="15" t="n">
        <v>0</v>
      </c>
      <c r="F15" s="15" t="n">
        <v>0</v>
      </c>
      <c r="G15" s="15" t="n">
        <v>0</v>
      </c>
      <c r="H15" s="15" t="n">
        <v>0</v>
      </c>
    </row>
    <row r="16">
      <c r="A16" s="2" t="inlineStr">
        <is>
          <t>path 4</t>
        </is>
      </c>
      <c r="B16" t="n">
        <v>0</v>
      </c>
      <c r="C16" s="15" t="n">
        <v>799900</v>
      </c>
      <c r="D16" s="15" t="n">
        <v>2852200</v>
      </c>
      <c r="E16" s="15" t="n">
        <v>0</v>
      </c>
      <c r="F16" s="15" t="n">
        <v>546000</v>
      </c>
      <c r="G16" s="15" t="n">
        <v>140000</v>
      </c>
      <c r="H16" s="15" t="n">
        <v>0</v>
      </c>
    </row>
    <row r="17">
      <c r="A17" s="2" t="inlineStr">
        <is>
          <t>path 5</t>
        </is>
      </c>
      <c r="B17" t="n">
        <v>0</v>
      </c>
      <c r="C17" s="15" t="n">
        <v>0</v>
      </c>
      <c r="D17" s="15" t="n">
        <v>0</v>
      </c>
      <c r="E17" s="15" t="n">
        <v>0</v>
      </c>
      <c r="F17" s="15" t="n">
        <v>0</v>
      </c>
      <c r="G17" s="15" t="n">
        <v>0</v>
      </c>
      <c r="H17" s="15" t="n">
        <v>100000</v>
      </c>
    </row>
    <row r="20">
      <c r="A20" t="inlineStr">
        <is>
          <t>Exposicion + CSA</t>
        </is>
      </c>
      <c r="C20" s="2" t="inlineStr">
        <is>
          <t>int1</t>
        </is>
      </c>
      <c r="D20" s="3" t="inlineStr">
        <is>
          <t>int2</t>
        </is>
      </c>
      <c r="E20" s="3" t="inlineStr">
        <is>
          <t>int3</t>
        </is>
      </c>
      <c r="F20" s="3" t="inlineStr">
        <is>
          <t>int4</t>
        </is>
      </c>
      <c r="G20" s="3" t="inlineStr">
        <is>
          <t>int5</t>
        </is>
      </c>
      <c r="H20" s="2" t="inlineStr">
        <is>
          <t>int6</t>
        </is>
      </c>
    </row>
    <row r="21">
      <c r="A21" s="2" t="inlineStr">
        <is>
          <t>path 0</t>
        </is>
      </c>
      <c r="C21" s="18" t="n">
        <v>93005.95238095238</v>
      </c>
      <c r="D21" s="18" t="n">
        <v>559726.254180602</v>
      </c>
      <c r="E21" s="18" t="n">
        <v>3819.126183929117</v>
      </c>
      <c r="F21" s="18" t="n">
        <v>116872.7915194346</v>
      </c>
      <c r="G21" s="18" t="n">
        <v>18315.01831501831</v>
      </c>
      <c r="H21" s="18" t="n">
        <v>31000</v>
      </c>
    </row>
    <row r="22">
      <c r="A22" s="2" t="inlineStr">
        <is>
          <t>path 1</t>
        </is>
      </c>
      <c r="C22" s="18" t="n">
        <v>525000</v>
      </c>
      <c r="D22" s="18" t="n">
        <v>7342.143906020558</v>
      </c>
      <c r="E22" s="18" t="n">
        <v>1479.727730097662</v>
      </c>
      <c r="F22" s="18" t="n">
        <v>0</v>
      </c>
      <c r="G22" s="18" t="n">
        <v>0</v>
      </c>
      <c r="H22" s="18" t="n">
        <v>0</v>
      </c>
    </row>
    <row r="23">
      <c r="A23" s="2" t="inlineStr">
        <is>
          <t>path 2</t>
        </is>
      </c>
      <c r="C23" s="18" t="n">
        <v>17872.46211038033</v>
      </c>
      <c r="D23" s="18" t="n">
        <v>0</v>
      </c>
      <c r="E23" s="18" t="n">
        <v>0</v>
      </c>
      <c r="F23" s="18" t="n">
        <v>889652.8925619835</v>
      </c>
      <c r="G23" s="18" t="n">
        <v>5980.861244019139</v>
      </c>
      <c r="H23" s="18" t="n">
        <v>6329.113924050634</v>
      </c>
    </row>
    <row r="24">
      <c r="A24" s="2" t="inlineStr">
        <is>
          <t>path 3</t>
        </is>
      </c>
      <c r="C24" s="18" t="n">
        <v>26483.05084745763</v>
      </c>
      <c r="D24" s="18" t="n">
        <v>0</v>
      </c>
      <c r="E24" s="18" t="n">
        <v>121.0636407919998</v>
      </c>
      <c r="F24" s="18" t="n">
        <v>163.4429400386847</v>
      </c>
      <c r="G24" s="18" t="n">
        <v>0</v>
      </c>
      <c r="H24" s="18" t="n">
        <v>0</v>
      </c>
    </row>
    <row r="25">
      <c r="A25" s="2" t="inlineStr">
        <is>
          <t>path 4</t>
        </is>
      </c>
      <c r="C25" s="18" t="n">
        <v>574950</v>
      </c>
      <c r="D25" s="18" t="n">
        <v>1126150</v>
      </c>
      <c r="E25" s="18" t="n">
        <v>1191.554263381154</v>
      </c>
      <c r="F25" s="18" t="n">
        <v>110401.0582010582</v>
      </c>
      <c r="G25" s="18" t="n">
        <v>12315.27093596059</v>
      </c>
      <c r="H25" s="18" t="n">
        <v>18939.39393939394</v>
      </c>
    </row>
    <row r="26">
      <c r="A26" s="2" t="inlineStr">
        <is>
          <t>path 5</t>
        </is>
      </c>
      <c r="C26" s="18" t="n">
        <v>16979.72756366719</v>
      </c>
      <c r="D26" s="18" t="n">
        <v>0</v>
      </c>
      <c r="E26" s="18" t="n">
        <v>0</v>
      </c>
      <c r="F26" s="18" t="n">
        <v>0</v>
      </c>
      <c r="G26" s="18" t="n">
        <v>0</v>
      </c>
      <c r="H26" s="18" t="n">
        <v>7633.587786259543</v>
      </c>
    </row>
    <row r="30">
      <c r="A30" t="inlineStr">
        <is>
          <t>AJUSTE CVA set3</t>
        </is>
      </c>
      <c r="C30" s="2" t="inlineStr">
        <is>
          <t>int1</t>
        </is>
      </c>
      <c r="D30" s="3" t="inlineStr">
        <is>
          <t>int2</t>
        </is>
      </c>
      <c r="E30" s="3" t="inlineStr">
        <is>
          <t>int3</t>
        </is>
      </c>
      <c r="F30" s="3" t="inlineStr">
        <is>
          <t>int4</t>
        </is>
      </c>
      <c r="G30" s="3" t="inlineStr">
        <is>
          <t>int5</t>
        </is>
      </c>
      <c r="H30" s="2" t="inlineStr">
        <is>
          <t>int6</t>
        </is>
      </c>
      <c r="I30" t="inlineStr">
        <is>
          <t>CVA por escenario</t>
        </is>
      </c>
    </row>
    <row r="31">
      <c r="A31" s="2" t="inlineStr">
        <is>
          <t>path 0</t>
        </is>
      </c>
      <c r="C31" t="n">
        <v>1082.728794642858</v>
      </c>
      <c r="D31" t="n">
        <v>2468.392780936457</v>
      </c>
      <c r="E31" t="n">
        <v>40.21539871677363</v>
      </c>
      <c r="F31" t="n">
        <v>1022.403180212009</v>
      </c>
      <c r="G31" t="n">
        <v>158.2417582417584</v>
      </c>
      <c r="H31" t="n">
        <v>212.0400000000001</v>
      </c>
      <c r="I31" t="n">
        <v>4984.021912749856</v>
      </c>
    </row>
    <row r="32">
      <c r="A32" s="2" t="inlineStr">
        <is>
          <t>path 1</t>
        </is>
      </c>
      <c r="C32" t="n">
        <v>6087.217500000004</v>
      </c>
      <c r="D32" t="n">
        <v>32.47797356828196</v>
      </c>
      <c r="E32" t="n">
        <v>15.59751405741345</v>
      </c>
      <c r="F32" t="n">
        <v>0</v>
      </c>
      <c r="G32" t="n">
        <v>0</v>
      </c>
      <c r="H32" t="n">
        <v>0</v>
      </c>
      <c r="I32" t="n">
        <v>6135.2929876257</v>
      </c>
    </row>
    <row r="33">
      <c r="A33" s="2" t="inlineStr">
        <is>
          <t>path 2</t>
        </is>
      </c>
      <c r="C33" t="n">
        <v>208.2713754646842</v>
      </c>
      <c r="D33" t="n">
        <v>0</v>
      </c>
      <c r="E33" t="n">
        <v>0</v>
      </c>
      <c r="F33" t="n">
        <v>7806.704132231368</v>
      </c>
      <c r="G33" t="n">
        <v>51.88995215311009</v>
      </c>
      <c r="H33" t="n">
        <v>43.79240506329117</v>
      </c>
      <c r="I33" t="n">
        <v>8110.657864912453</v>
      </c>
    </row>
    <row r="34">
      <c r="A34" s="2" t="inlineStr">
        <is>
          <t>path 3</t>
        </is>
      </c>
      <c r="C34" t="n">
        <v>307.9925847457629</v>
      </c>
      <c r="D34" t="n">
        <v>0</v>
      </c>
      <c r="E34" t="n">
        <v>1.276107624860312</v>
      </c>
      <c r="F34" t="n">
        <v>1.428327852998059</v>
      </c>
      <c r="G34" t="n">
        <v>0</v>
      </c>
      <c r="H34" t="n">
        <v>0</v>
      </c>
      <c r="I34" t="n">
        <v>310.6970202236213</v>
      </c>
    </row>
    <row r="35">
      <c r="A35" s="2" t="inlineStr">
        <is>
          <t>path 4</t>
        </is>
      </c>
      <c r="C35" t="n">
        <v>6713.461170000005</v>
      </c>
      <c r="D35" t="n">
        <v>5016.998250000004</v>
      </c>
      <c r="E35" t="n">
        <v>12.62427910967067</v>
      </c>
      <c r="F35" t="n">
        <v>961.8140190476145</v>
      </c>
      <c r="G35" t="n">
        <v>106.4039408866996</v>
      </c>
      <c r="H35" t="n">
        <v>129.6818181818183</v>
      </c>
      <c r="I35" t="n">
        <v>12940.98347722581</v>
      </c>
    </row>
    <row r="36">
      <c r="A36" s="2" t="inlineStr">
        <is>
          <t>path 5</t>
        </is>
      </c>
      <c r="C36" t="n">
        <v>198.4641496824113</v>
      </c>
      <c r="D36" t="n">
        <v>0</v>
      </c>
      <c r="E36" t="n">
        <v>0</v>
      </c>
      <c r="F36" t="n">
        <v>0</v>
      </c>
      <c r="G36" t="n">
        <v>0</v>
      </c>
      <c r="H36" t="n">
        <v>52.87328244274813</v>
      </c>
      <c r="I36" t="n">
        <v>251.3374321251595</v>
      </c>
    </row>
    <row r="39">
      <c r="I39" s="12" t="n">
        <v>5455.498449143768</v>
      </c>
    </row>
    <row r="40">
      <c r="A40" t="inlineStr">
        <is>
          <t>CVA set3</t>
        </is>
      </c>
    </row>
    <row r="43">
      <c r="A43" t="inlineStr">
        <is>
          <t>EXPOSICION - CSA</t>
        </is>
      </c>
      <c r="C43" t="inlineStr">
        <is>
          <t>int1</t>
        </is>
      </c>
      <c r="D43" t="inlineStr">
        <is>
          <t>int2</t>
        </is>
      </c>
      <c r="E43" t="inlineStr">
        <is>
          <t>int3</t>
        </is>
      </c>
      <c r="F43" t="inlineStr">
        <is>
          <t>int4</t>
        </is>
      </c>
      <c r="G43" t="inlineStr">
        <is>
          <t>int5</t>
        </is>
      </c>
      <c r="H43" t="inlineStr">
        <is>
          <t>int6</t>
        </is>
      </c>
    </row>
    <row r="44">
      <c r="A44" t="inlineStr">
        <is>
          <t>path 0</t>
        </is>
      </c>
      <c r="C44" t="n">
        <v>11005.95238095238</v>
      </c>
      <c r="D44" t="n">
        <v>2876.254180602007</v>
      </c>
      <c r="E44" t="n">
        <v>558419.1261839292</v>
      </c>
      <c r="F44" t="n">
        <v>14122.79151943463</v>
      </c>
      <c r="G44" t="n">
        <v>54815.01831501831</v>
      </c>
      <c r="H44" t="n">
        <v>0</v>
      </c>
    </row>
    <row r="45">
      <c r="A45" t="inlineStr">
        <is>
          <t>path 1</t>
        </is>
      </c>
      <c r="C45" t="n">
        <v>0</v>
      </c>
      <c r="D45" t="n">
        <v>247842.1439060206</v>
      </c>
      <c r="E45" t="n">
        <v>1590979.727730098</v>
      </c>
      <c r="F45" t="n">
        <v>2674000</v>
      </c>
      <c r="G45" t="n">
        <v>2244000</v>
      </c>
      <c r="H45" t="n">
        <v>1958750</v>
      </c>
    </row>
    <row r="46">
      <c r="A46" t="inlineStr">
        <is>
          <t>path 2</t>
        </is>
      </c>
      <c r="C46" t="n">
        <v>642122.4621103804</v>
      </c>
      <c r="D46" t="n">
        <v>1001250</v>
      </c>
      <c r="E46" t="n">
        <v>292000</v>
      </c>
      <c r="F46" t="n">
        <v>1652.892561983471</v>
      </c>
      <c r="G46" t="n">
        <v>323980.8612440192</v>
      </c>
      <c r="H46" t="n">
        <v>301329.1139240506</v>
      </c>
    </row>
    <row r="47">
      <c r="A47" t="inlineStr">
        <is>
          <t>path 3</t>
        </is>
      </c>
      <c r="C47" t="n">
        <v>366483.0508474576</v>
      </c>
      <c r="D47" t="n">
        <v>807490</v>
      </c>
      <c r="E47" t="n">
        <v>336111.063640792</v>
      </c>
      <c r="F47" t="n">
        <v>245663.4429400387</v>
      </c>
      <c r="G47" t="n">
        <v>307000</v>
      </c>
      <c r="H47" t="n">
        <v>320000</v>
      </c>
    </row>
    <row r="48">
      <c r="A48" t="inlineStr">
        <is>
          <t>path 4</t>
        </is>
      </c>
      <c r="C48" t="n">
        <v>0</v>
      </c>
      <c r="D48" t="n">
        <v>0</v>
      </c>
      <c r="E48" t="n">
        <v>1999291.554263381</v>
      </c>
      <c r="F48" t="n">
        <v>409401.0582010582</v>
      </c>
      <c r="G48" t="n">
        <v>115315.2709359606</v>
      </c>
      <c r="H48" t="n">
        <v>50939.39393939394</v>
      </c>
    </row>
    <row r="49">
      <c r="A49" t="inlineStr">
        <is>
          <t>path 5</t>
        </is>
      </c>
      <c r="C49" t="n">
        <v>687194.7275636672</v>
      </c>
      <c r="D49" t="n">
        <v>1320515</v>
      </c>
      <c r="E49" t="n">
        <v>1786300</v>
      </c>
      <c r="F49" t="n">
        <v>1731050</v>
      </c>
      <c r="G49" t="n">
        <v>1680050</v>
      </c>
      <c r="H49" t="n">
        <v>1117633.58778626</v>
      </c>
    </row>
    <row r="52">
      <c r="A52" t="inlineStr">
        <is>
          <t>AJUSTE DVA set3</t>
        </is>
      </c>
      <c r="C52" t="inlineStr">
        <is>
          <t>int1</t>
        </is>
      </c>
      <c r="D52" t="inlineStr">
        <is>
          <t>int2</t>
        </is>
      </c>
      <c r="E52" t="inlineStr">
        <is>
          <t>int3</t>
        </is>
      </c>
      <c r="F52" t="inlineStr">
        <is>
          <t>int4</t>
        </is>
      </c>
      <c r="G52" t="inlineStr">
        <is>
          <t>int5</t>
        </is>
      </c>
      <c r="H52" t="inlineStr">
        <is>
          <t>int6</t>
        </is>
      </c>
      <c r="I52" t="inlineStr">
        <is>
          <t>DVA por escenario</t>
        </is>
      </c>
    </row>
    <row r="53">
      <c r="A53" t="inlineStr">
        <is>
          <t>path 0</t>
        </is>
      </c>
      <c r="C53" t="n">
        <v>131.4110714285715</v>
      </c>
      <c r="D53" t="n">
        <v>13.52989966555185</v>
      </c>
      <c r="E53" t="n">
        <v>4573.452643446384</v>
      </c>
      <c r="F53" t="n">
        <v>107.0733561837457</v>
      </c>
      <c r="G53" t="n">
        <v>473.6017582417551</v>
      </c>
      <c r="H53" t="n">
        <v>0</v>
      </c>
      <c r="I53" t="n">
        <v>5299.068728966009</v>
      </c>
    </row>
    <row r="54">
      <c r="A54" t="inlineStr">
        <is>
          <t>path 1</t>
        </is>
      </c>
      <c r="C54" t="n">
        <v>0</v>
      </c>
      <c r="D54" t="n">
        <v>1169.418371806168</v>
      </c>
      <c r="E54" t="n">
        <v>13043.48819982244</v>
      </c>
      <c r="F54" t="n">
        <v>20252.34120000002</v>
      </c>
      <c r="G54" t="n">
        <v>19327.57199999987</v>
      </c>
      <c r="H54" t="n">
        <v>9942.615000000009</v>
      </c>
      <c r="I54" t="n">
        <v>63735.43477162851</v>
      </c>
    </row>
    <row r="55">
      <c r="A55" t="inlineStr">
        <is>
          <t>path 2</t>
        </is>
      </c>
      <c r="C55" t="n">
        <v>7674.647667143273</v>
      </c>
      <c r="D55" t="n">
        <v>4729.104000000005</v>
      </c>
      <c r="E55" t="n">
        <v>2403.744000000002</v>
      </c>
      <c r="F55" t="n">
        <v>12.57024793388431</v>
      </c>
      <c r="G55" t="n">
        <v>2810.857952153092</v>
      </c>
      <c r="H55" t="n">
        <v>1563.717303797469</v>
      </c>
      <c r="I55" t="n">
        <v>19194.64117102773</v>
      </c>
    </row>
    <row r="56">
      <c r="A56" t="inlineStr">
        <is>
          <t>path 3</t>
        </is>
      </c>
      <c r="C56" t="n">
        <v>4371.409830508478</v>
      </c>
      <c r="D56" t="n">
        <v>3798.432960000003</v>
      </c>
      <c r="E56" t="n">
        <v>2755.572944152671</v>
      </c>
      <c r="F56" t="n">
        <v>1860.605784139266</v>
      </c>
      <c r="G56" t="n">
        <v>2635.901999999982</v>
      </c>
      <c r="H56" t="n">
        <v>1641.600000000002</v>
      </c>
      <c r="I56" t="n">
        <v>17063.5235188004</v>
      </c>
    </row>
    <row r="57">
      <c r="A57" t="inlineStr">
        <is>
          <t>path 4</t>
        </is>
      </c>
      <c r="C57" t="n">
        <v>0</v>
      </c>
      <c r="D57" t="n">
        <v>0</v>
      </c>
      <c r="E57" t="n">
        <v>16474.96212375198</v>
      </c>
      <c r="F57" t="n">
        <v>3091.141749841273</v>
      </c>
      <c r="G57" t="n">
        <v>996.323940886693</v>
      </c>
      <c r="H57" t="n">
        <v>261.5941636363638</v>
      </c>
      <c r="I57" t="n">
        <v>20824.02197811631</v>
      </c>
    </row>
    <row r="58">
      <c r="A58" t="inlineStr">
        <is>
          <t>path 5</t>
        </is>
      </c>
      <c r="C58" t="n">
        <v>8238.09039403325</v>
      </c>
      <c r="D58" t="n">
        <v>6256.071864000005</v>
      </c>
      <c r="E58" t="n">
        <v>14719.82652000001</v>
      </c>
      <c r="F58" t="n">
        <v>13205.14182000001</v>
      </c>
      <c r="G58" t="n">
        <v>14681.9569499999</v>
      </c>
      <c r="H58" t="n">
        <v>5805.882961832066</v>
      </c>
      <c r="I58" t="n">
        <v>62906.97050986525</v>
      </c>
    </row>
    <row r="60">
      <c r="A60" t="inlineStr">
        <is>
          <t>DVA set3</t>
        </is>
      </c>
      <c r="I60" t="n">
        <v>31503.9434464007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I64"/>
  <sheetViews>
    <sheetView topLeftCell="A39" workbookViewId="0">
      <selection activeCell="F69" sqref="F69"/>
    </sheetView>
  </sheetViews>
  <sheetFormatPr baseColWidth="8" defaultRowHeight="15"/>
  <cols>
    <col width="33" customWidth="1" min="1" max="1"/>
    <col width="14.7109375" customWidth="1" min="2" max="2"/>
    <col width="16.42578125" customWidth="1" min="3" max="3"/>
    <col width="15.28515625" customWidth="1" min="4" max="4"/>
    <col width="15.140625" customWidth="1" min="5" max="5"/>
    <col width="15.5703125" customWidth="1" min="6" max="6"/>
    <col width="16.7109375" customWidth="1" min="7" max="7"/>
    <col width="15.140625" customWidth="1" min="8" max="8"/>
    <col width="15.28515625" customWidth="1" min="9" max="9"/>
  </cols>
  <sheetData>
    <row r="2" ht="30.75" customHeight="1">
      <c r="A2" s="15" t="inlineStr">
        <is>
          <t>Simulaciones del valor presente del derivado NET (RISK Free)</t>
        </is>
      </c>
      <c r="B2" s="19" t="n">
        <v>46023</v>
      </c>
      <c r="C2" s="19" t="n">
        <v>46054</v>
      </c>
      <c r="D2" s="19" t="n">
        <v>46082</v>
      </c>
      <c r="E2" s="19" t="n">
        <v>46113</v>
      </c>
      <c r="F2" s="19" t="n">
        <v>46143</v>
      </c>
      <c r="G2" s="19" t="n">
        <v>46174</v>
      </c>
      <c r="H2" s="19" t="n">
        <v>46204</v>
      </c>
    </row>
    <row r="3">
      <c r="A3" s="2" t="inlineStr">
        <is>
          <t>path 0</t>
        </is>
      </c>
      <c r="B3" s="16" t="n">
        <v>250000</v>
      </c>
      <c r="C3" s="16" t="n">
        <v>-86000</v>
      </c>
      <c r="D3" s="16" t="n">
        <v>1199700</v>
      </c>
      <c r="E3" s="16" t="n">
        <v>-109500</v>
      </c>
      <c r="F3" s="16" t="n">
        <v>315000</v>
      </c>
      <c r="G3" s="16" t="n">
        <v>42000</v>
      </c>
      <c r="H3" s="16" t="n">
        <v>20000</v>
      </c>
    </row>
    <row r="4">
      <c r="A4" s="2" t="inlineStr">
        <is>
          <t>path 1</t>
        </is>
      </c>
      <c r="B4" s="16" t="n">
        <v>250000</v>
      </c>
      <c r="C4" s="16" t="n">
        <v>800000</v>
      </c>
      <c r="D4" s="16" t="n">
        <v>119000</v>
      </c>
      <c r="E4" s="16" t="n">
        <v>-3260000</v>
      </c>
      <c r="F4" s="16" t="n">
        <v>-2050000</v>
      </c>
      <c r="G4" s="16" t="n">
        <v>-2400000</v>
      </c>
      <c r="H4" s="16" t="n">
        <v>-1479500</v>
      </c>
    </row>
    <row r="5">
      <c r="A5" s="2" t="inlineStr">
        <is>
          <t>path 2</t>
        </is>
      </c>
      <c r="B5" s="16" t="n">
        <v>250000</v>
      </c>
      <c r="C5" s="16" t="n">
        <v>-1498500</v>
      </c>
      <c r="D5" s="16" t="n">
        <v>-504000</v>
      </c>
      <c r="E5" s="16" t="n">
        <v>-80000</v>
      </c>
      <c r="F5" s="16" t="n">
        <v>1856000</v>
      </c>
      <c r="G5" s="16" t="n">
        <v>1020000</v>
      </c>
      <c r="H5" s="16" t="n">
        <v>230000</v>
      </c>
    </row>
    <row r="6">
      <c r="A6" s="2" t="inlineStr">
        <is>
          <t>path 3</t>
        </is>
      </c>
      <c r="B6" s="16" t="n">
        <v>250000</v>
      </c>
      <c r="C6" s="16" t="n">
        <v>-930000</v>
      </c>
      <c r="D6" s="16" t="n">
        <v>-684980</v>
      </c>
      <c r="E6" s="16" t="n">
        <v>13000</v>
      </c>
      <c r="F6" s="16" t="n">
        <v>-504000</v>
      </c>
      <c r="G6" s="16" t="n">
        <v>-110000</v>
      </c>
      <c r="H6" s="16" t="n">
        <v>-530000</v>
      </c>
    </row>
    <row r="7">
      <c r="A7" s="2" t="inlineStr">
        <is>
          <t>path 4</t>
        </is>
      </c>
      <c r="B7" s="16" t="n">
        <v>250000</v>
      </c>
      <c r="C7" s="16" t="n">
        <v>899900</v>
      </c>
      <c r="D7" s="16" t="n">
        <v>2952200</v>
      </c>
      <c r="E7" s="16" t="n">
        <v>-1244000</v>
      </c>
      <c r="F7" s="16" t="n">
        <v>646000</v>
      </c>
      <c r="G7" s="16" t="n">
        <v>240000</v>
      </c>
      <c r="H7" s="16" t="n">
        <v>-24000</v>
      </c>
    </row>
    <row r="8">
      <c r="A8" s="2" t="inlineStr">
        <is>
          <t>path 5</t>
        </is>
      </c>
      <c r="B8" s="16" t="n">
        <v>250000</v>
      </c>
      <c r="C8" s="16" t="n">
        <v>-1590430</v>
      </c>
      <c r="D8" s="16" t="n">
        <v>-1050600</v>
      </c>
      <c r="E8" s="16" t="n">
        <v>-2522000</v>
      </c>
      <c r="F8" s="16" t="n">
        <v>-940100</v>
      </c>
      <c r="G8" s="16" t="n">
        <v>-2420000</v>
      </c>
      <c r="H8" s="16" t="n">
        <v>200000</v>
      </c>
    </row>
    <row r="12">
      <c r="A12" t="inlineStr">
        <is>
          <t>Cuenta de Colateral</t>
        </is>
      </c>
      <c r="B12" s="19" t="n">
        <v>46023</v>
      </c>
      <c r="C12" s="19" t="n">
        <v>46054</v>
      </c>
      <c r="D12" s="19" t="n">
        <v>46082</v>
      </c>
      <c r="E12" s="19" t="n">
        <v>46113</v>
      </c>
      <c r="F12" s="19" t="n">
        <v>46143</v>
      </c>
      <c r="G12" s="19" t="n">
        <v>46174</v>
      </c>
      <c r="H12" s="19" t="n">
        <v>46204</v>
      </c>
    </row>
    <row r="13">
      <c r="A13" s="2" t="inlineStr">
        <is>
          <t>path 0</t>
        </is>
      </c>
      <c r="B13" t="n">
        <v>0</v>
      </c>
      <c r="C13" t="n">
        <v>0</v>
      </c>
      <c r="D13" t="n">
        <v>1099700</v>
      </c>
      <c r="E13" t="n">
        <v>-9500</v>
      </c>
      <c r="F13" t="n">
        <v>215000</v>
      </c>
      <c r="G13" t="n">
        <v>0</v>
      </c>
      <c r="H13" t="n">
        <v>0</v>
      </c>
    </row>
    <row r="14">
      <c r="A14" s="2" t="inlineStr">
        <is>
          <t>path 1</t>
        </is>
      </c>
      <c r="B14" t="n">
        <v>0</v>
      </c>
      <c r="C14" t="n">
        <v>700000</v>
      </c>
      <c r="D14" t="n">
        <v>19000</v>
      </c>
      <c r="E14" t="n">
        <v>-3160000</v>
      </c>
      <c r="F14" t="n">
        <v>-1950000</v>
      </c>
      <c r="G14" t="n">
        <v>-2300000</v>
      </c>
      <c r="H14" t="n">
        <v>-1379500</v>
      </c>
    </row>
    <row r="15">
      <c r="A15" s="2" t="inlineStr">
        <is>
          <t>path 2</t>
        </is>
      </c>
      <c r="B15" t="n">
        <v>0</v>
      </c>
      <c r="C15" t="n">
        <v>-1398500</v>
      </c>
      <c r="D15" t="n">
        <v>-404000</v>
      </c>
      <c r="E15" t="n">
        <v>0</v>
      </c>
      <c r="F15" t="n">
        <v>1756000</v>
      </c>
      <c r="G15" t="n">
        <v>920000</v>
      </c>
      <c r="H15" t="n">
        <v>130000</v>
      </c>
    </row>
    <row r="16">
      <c r="A16" s="2" t="inlineStr">
        <is>
          <t>path 3</t>
        </is>
      </c>
      <c r="B16" t="n">
        <v>0</v>
      </c>
      <c r="C16" t="n">
        <v>-830000</v>
      </c>
      <c r="D16" t="n">
        <v>-584980</v>
      </c>
      <c r="E16" t="n">
        <v>0</v>
      </c>
      <c r="F16" t="n">
        <v>-404000</v>
      </c>
      <c r="G16" t="n">
        <v>-10000</v>
      </c>
      <c r="H16" t="n">
        <v>-430000</v>
      </c>
    </row>
    <row r="17">
      <c r="A17" s="2" t="inlineStr">
        <is>
          <t>path 4</t>
        </is>
      </c>
      <c r="B17" t="n">
        <v>0</v>
      </c>
      <c r="C17" t="n">
        <v>799900</v>
      </c>
      <c r="D17" t="n">
        <v>2852200</v>
      </c>
      <c r="E17" t="n">
        <v>-1144000</v>
      </c>
      <c r="F17" t="n">
        <v>546000</v>
      </c>
      <c r="G17" t="n">
        <v>140000</v>
      </c>
      <c r="H17" t="n">
        <v>0</v>
      </c>
    </row>
    <row r="18">
      <c r="A18" s="2" t="inlineStr">
        <is>
          <t>path 5</t>
        </is>
      </c>
      <c r="B18" t="n">
        <v>0</v>
      </c>
      <c r="C18" t="n">
        <v>-1490430</v>
      </c>
      <c r="D18" t="n">
        <v>-950600</v>
      </c>
      <c r="E18" t="n">
        <v>-2422000</v>
      </c>
      <c r="F18" t="n">
        <v>-840100</v>
      </c>
      <c r="G18" t="n">
        <v>-2320000</v>
      </c>
      <c r="H18" t="n">
        <v>100000</v>
      </c>
    </row>
    <row r="22">
      <c r="A22" t="inlineStr">
        <is>
          <t>EXPOSICION + CSA</t>
        </is>
      </c>
      <c r="C22" s="2" t="inlineStr">
        <is>
          <t>int1</t>
        </is>
      </c>
      <c r="D22" s="3" t="inlineStr">
        <is>
          <t>int2</t>
        </is>
      </c>
      <c r="E22" s="3" t="inlineStr">
        <is>
          <t>int3</t>
        </is>
      </c>
      <c r="F22" s="3" t="inlineStr">
        <is>
          <t>int4</t>
        </is>
      </c>
      <c r="G22" s="3" t="inlineStr">
        <is>
          <t>int5</t>
        </is>
      </c>
      <c r="H22" s="2" t="inlineStr">
        <is>
          <t>int6</t>
        </is>
      </c>
    </row>
    <row r="23">
      <c r="A23" s="2" t="inlineStr">
        <is>
          <t>path 0</t>
        </is>
      </c>
      <c r="C23" t="n">
        <v>93005.95238095238</v>
      </c>
      <c r="D23" t="n">
        <v>559726.254180602</v>
      </c>
      <c r="E23" t="n">
        <v>3819.126183929117</v>
      </c>
      <c r="F23" t="n">
        <v>124028.5630153121</v>
      </c>
      <c r="G23" t="n">
        <v>18315.01831501831</v>
      </c>
      <c r="H23" t="n">
        <v>31000</v>
      </c>
    </row>
    <row r="24">
      <c r="A24" s="2" t="inlineStr">
        <is>
          <t>path 1</t>
        </is>
      </c>
      <c r="C24" t="n">
        <v>525000</v>
      </c>
      <c r="D24" t="n">
        <v>7342.143906020558</v>
      </c>
      <c r="E24" t="n">
        <v>1479.727730097662</v>
      </c>
      <c r="F24" t="n">
        <v>509132.2314049587</v>
      </c>
      <c r="G24" t="n">
        <v>0</v>
      </c>
      <c r="H24" t="n">
        <v>365681.8305268876</v>
      </c>
    </row>
    <row r="25">
      <c r="A25" s="2" t="inlineStr">
        <is>
          <t>path 2</t>
        </is>
      </c>
      <c r="C25" t="n">
        <v>17872.46211038033</v>
      </c>
      <c r="D25" t="n">
        <v>402277.6520864756</v>
      </c>
      <c r="E25" t="n">
        <v>123792.4528301887</v>
      </c>
      <c r="F25" t="n">
        <v>889652.8925619835</v>
      </c>
      <c r="G25" t="n">
        <v>5980.861244019139</v>
      </c>
      <c r="H25" t="n">
        <v>6329.113924050634</v>
      </c>
    </row>
    <row r="26">
      <c r="A26" s="2" t="inlineStr">
        <is>
          <t>path 3</t>
        </is>
      </c>
      <c r="C26" t="n">
        <v>26483.05084745763</v>
      </c>
      <c r="D26" t="n">
        <v>42916.49742878132</v>
      </c>
      <c r="E26" t="n">
        <v>256153.5290409467</v>
      </c>
      <c r="F26" t="n">
        <v>163.4429400386847</v>
      </c>
      <c r="G26" t="n">
        <v>109690.3553299492</v>
      </c>
      <c r="H26" t="n">
        <v>0</v>
      </c>
    </row>
    <row r="27">
      <c r="A27" s="2" t="inlineStr">
        <is>
          <t>path 4</t>
        </is>
      </c>
      <c r="C27" t="n">
        <v>574950</v>
      </c>
      <c r="D27" t="n">
        <v>1126150</v>
      </c>
      <c r="E27" t="n">
        <v>1191.554263381154</v>
      </c>
      <c r="F27" t="n">
        <v>847645.5026455027</v>
      </c>
      <c r="G27" t="n">
        <v>12315.27093596059</v>
      </c>
      <c r="H27" t="n">
        <v>18939.39393939394</v>
      </c>
    </row>
    <row r="28">
      <c r="A28" s="2" t="inlineStr">
        <is>
          <t>path 5</t>
        </is>
      </c>
      <c r="C28" t="n">
        <v>16979.72756366719</v>
      </c>
      <c r="D28" t="n">
        <v>179177.1751292073</v>
      </c>
      <c r="E28" t="n">
        <v>0</v>
      </c>
      <c r="F28" t="n">
        <v>694110.7560528478</v>
      </c>
      <c r="G28" t="n">
        <v>0</v>
      </c>
      <c r="H28" t="n">
        <v>1211908.396946565</v>
      </c>
    </row>
    <row r="31">
      <c r="A31" t="inlineStr">
        <is>
          <t>EXPOSICION - CSA</t>
        </is>
      </c>
      <c r="C31" s="2" t="inlineStr">
        <is>
          <t>int1</t>
        </is>
      </c>
      <c r="D31" s="3" t="inlineStr">
        <is>
          <t>int2</t>
        </is>
      </c>
      <c r="E31" s="3" t="inlineStr">
        <is>
          <t>int3</t>
        </is>
      </c>
      <c r="F31" s="3" t="inlineStr">
        <is>
          <t>int4</t>
        </is>
      </c>
      <c r="G31" s="3" t="inlineStr">
        <is>
          <t>int5</t>
        </is>
      </c>
      <c r="H31" s="2" t="inlineStr">
        <is>
          <t>int6</t>
        </is>
      </c>
    </row>
    <row r="32">
      <c r="A32" s="2" t="inlineStr">
        <is>
          <t>path 0</t>
        </is>
      </c>
      <c r="C32" t="n">
        <v>11005.95238095238</v>
      </c>
      <c r="D32" t="n">
        <v>2876.254180602007</v>
      </c>
      <c r="E32" t="n">
        <v>558419.1261839292</v>
      </c>
      <c r="F32" t="n">
        <v>11778.56301531213</v>
      </c>
      <c r="G32" t="n">
        <v>54815.01831501831</v>
      </c>
      <c r="H32" t="n">
        <v>0</v>
      </c>
    </row>
    <row r="33">
      <c r="A33" s="2" t="inlineStr">
        <is>
          <t>path 1</t>
        </is>
      </c>
      <c r="C33" t="n">
        <v>0</v>
      </c>
      <c r="D33" t="n">
        <v>247842.1439060206</v>
      </c>
      <c r="E33" t="n">
        <v>1590979.727730098</v>
      </c>
      <c r="F33" t="n">
        <v>4132.231404958678</v>
      </c>
      <c r="G33" t="n">
        <v>275000</v>
      </c>
      <c r="H33" t="n">
        <v>5431.830526887561</v>
      </c>
    </row>
    <row r="34">
      <c r="A34" s="2" t="inlineStr">
        <is>
          <t>path 2</t>
        </is>
      </c>
      <c r="C34" t="n">
        <v>642122.4621103804</v>
      </c>
      <c r="D34" t="n">
        <v>5027.652086475616</v>
      </c>
      <c r="E34" t="n">
        <v>11792.45283018868</v>
      </c>
      <c r="F34" t="n">
        <v>1652.892561983471</v>
      </c>
      <c r="G34" t="n">
        <v>323980.8612440192</v>
      </c>
      <c r="H34" t="n">
        <v>301329.1139240506</v>
      </c>
    </row>
    <row r="35">
      <c r="A35" s="2" t="inlineStr">
        <is>
          <t>path 3</t>
        </is>
      </c>
      <c r="C35" t="n">
        <v>366483.0508474576</v>
      </c>
      <c r="D35" t="n">
        <v>20406.49742878132</v>
      </c>
      <c r="E35" t="n">
        <v>7163.529040946732</v>
      </c>
      <c r="F35" t="n">
        <v>245663.4429400387</v>
      </c>
      <c r="G35" t="n">
        <v>12690.35532994924</v>
      </c>
      <c r="H35" t="n">
        <v>310000</v>
      </c>
    </row>
    <row r="36">
      <c r="A36" s="2" t="inlineStr">
        <is>
          <t>path 4</t>
        </is>
      </c>
      <c r="C36" t="n">
        <v>0</v>
      </c>
      <c r="D36" t="n">
        <v>0</v>
      </c>
      <c r="E36" t="n">
        <v>1999291.554263381</v>
      </c>
      <c r="F36" t="n">
        <v>2645.502645502645</v>
      </c>
      <c r="G36" t="n">
        <v>115315.2709359606</v>
      </c>
      <c r="H36" t="n">
        <v>50939.39393939394</v>
      </c>
    </row>
    <row r="37">
      <c r="A37" s="2" t="inlineStr">
        <is>
          <t>path 5</t>
        </is>
      </c>
      <c r="C37" t="n">
        <v>687194.7275636672</v>
      </c>
      <c r="D37" t="n">
        <v>9262.175129207344</v>
      </c>
      <c r="E37" t="n">
        <v>835700</v>
      </c>
      <c r="F37" t="n">
        <v>3160.756052847841</v>
      </c>
      <c r="G37" t="n">
        <v>839950</v>
      </c>
      <c r="H37" t="n">
        <v>1908.396946564886</v>
      </c>
    </row>
    <row r="43">
      <c r="A43" t="inlineStr">
        <is>
          <t>AJUSTE CVA set4</t>
        </is>
      </c>
      <c r="C43" s="2" t="inlineStr">
        <is>
          <t>int1</t>
        </is>
      </c>
      <c r="D43" s="3" t="inlineStr">
        <is>
          <t>int2</t>
        </is>
      </c>
      <c r="E43" s="3" t="inlineStr">
        <is>
          <t>int3</t>
        </is>
      </c>
      <c r="F43" s="3" t="inlineStr">
        <is>
          <t>int4</t>
        </is>
      </c>
      <c r="G43" s="3" t="inlineStr">
        <is>
          <t>int5</t>
        </is>
      </c>
      <c r="H43" s="2" t="inlineStr">
        <is>
          <t>int6</t>
        </is>
      </c>
      <c r="I43" t="inlineStr">
        <is>
          <t>CVA por escenario</t>
        </is>
      </c>
    </row>
    <row r="44">
      <c r="A44" s="2" t="inlineStr">
        <is>
          <t>path 0</t>
        </is>
      </c>
      <c r="C44" t="n">
        <v>1082.728794642858</v>
      </c>
      <c r="D44" t="n">
        <v>2468.392780936457</v>
      </c>
      <c r="E44" t="n">
        <v>40.21539871677363</v>
      </c>
      <c r="F44" t="n">
        <v>1085.001869257945</v>
      </c>
      <c r="G44" t="n">
        <v>158.2417582417584</v>
      </c>
      <c r="H44" t="n">
        <v>212.0400000000001</v>
      </c>
      <c r="I44" t="n">
        <v>5046.620601795792</v>
      </c>
    </row>
    <row r="45">
      <c r="A45" s="2" t="inlineStr">
        <is>
          <t>path 1</t>
        </is>
      </c>
      <c r="C45" t="n">
        <v>6087.217500000004</v>
      </c>
      <c r="D45" t="n">
        <v>32.47797356828196</v>
      </c>
      <c r="E45" t="n">
        <v>15.59751405741345</v>
      </c>
      <c r="F45" t="n">
        <v>4449.306570247913</v>
      </c>
      <c r="G45" t="n">
        <v>0</v>
      </c>
      <c r="H45" t="n">
        <v>2474.934629005977</v>
      </c>
      <c r="I45" t="n">
        <v>13059.53418687959</v>
      </c>
    </row>
    <row r="46">
      <c r="A46" s="2" t="inlineStr">
        <is>
          <t>path 2</t>
        </is>
      </c>
      <c r="C46" t="n">
        <v>208.2713754646842</v>
      </c>
      <c r="D46" t="n">
        <v>1781.285443438916</v>
      </c>
      <c r="E46" t="n">
        <v>1310.219320754718</v>
      </c>
      <c r="F46" t="n">
        <v>7806.704132231368</v>
      </c>
      <c r="G46" t="n">
        <v>51.88995215311009</v>
      </c>
      <c r="H46" t="n">
        <v>43.79240506329117</v>
      </c>
      <c r="I46" t="n">
        <v>11202.16262910609</v>
      </c>
    </row>
    <row r="47">
      <c r="A47" s="2" t="inlineStr">
        <is>
          <t>path 3</t>
        </is>
      </c>
      <c r="C47" t="n">
        <v>307.9925847457629</v>
      </c>
      <c r="D47" t="n">
        <v>189.2617536609258</v>
      </c>
      <c r="E47" t="n">
        <v>2700.063118914813</v>
      </c>
      <c r="F47" t="n">
        <v>1.428327852998059</v>
      </c>
      <c r="G47" t="n">
        <v>941.8013908629447</v>
      </c>
      <c r="H47" t="n">
        <v>0</v>
      </c>
      <c r="I47" t="n">
        <v>4140.547176037445</v>
      </c>
    </row>
    <row r="48">
      <c r="A48" s="2" t="inlineStr">
        <is>
          <t>path 4</t>
        </is>
      </c>
      <c r="C48" t="n">
        <v>6713.461170000005</v>
      </c>
      <c r="D48" t="n">
        <v>5016.998250000004</v>
      </c>
      <c r="E48" t="n">
        <v>12.62427910967067</v>
      </c>
      <c r="F48" t="n">
        <v>7384.687619047583</v>
      </c>
      <c r="G48" t="n">
        <v>106.4039408866996</v>
      </c>
      <c r="H48" t="n">
        <v>129.6818181818183</v>
      </c>
      <c r="I48" t="n">
        <v>19363.85707722578</v>
      </c>
    </row>
    <row r="49">
      <c r="A49" s="2" t="inlineStr">
        <is>
          <t>path 5</t>
        </is>
      </c>
      <c r="C49" t="n">
        <v>198.4641496824113</v>
      </c>
      <c r="D49" t="n">
        <v>795.815423336375</v>
      </c>
      <c r="E49" t="n">
        <v>0</v>
      </c>
      <c r="F49" t="n">
        <v>6109.562874777137</v>
      </c>
      <c r="G49" t="n">
        <v>0</v>
      </c>
      <c r="H49" t="n">
        <v>8394.162320610694</v>
      </c>
      <c r="I49" t="n">
        <v>15498.00476840662</v>
      </c>
    </row>
    <row r="52">
      <c r="A52" t="inlineStr">
        <is>
          <t>CVA set4</t>
        </is>
      </c>
      <c r="I52" s="12" t="n">
        <v>11385.12107324189</v>
      </c>
    </row>
    <row r="55" ht="30.75" customHeight="1">
      <c r="A55" t="inlineStr">
        <is>
          <t>AJUSTE DVA set4</t>
        </is>
      </c>
      <c r="C55" s="2" t="inlineStr">
        <is>
          <t>int1</t>
        </is>
      </c>
      <c r="D55" s="3" t="inlineStr">
        <is>
          <t>int2</t>
        </is>
      </c>
      <c r="E55" s="3" t="inlineStr">
        <is>
          <t>int3</t>
        </is>
      </c>
      <c r="F55" s="3" t="inlineStr">
        <is>
          <t>int4</t>
        </is>
      </c>
      <c r="G55" s="3" t="inlineStr">
        <is>
          <t>int5</t>
        </is>
      </c>
      <c r="H55" s="2" t="inlineStr">
        <is>
          <t>int6</t>
        </is>
      </c>
      <c r="I55" s="15" t="inlineStr">
        <is>
          <t>DVA por escenario</t>
        </is>
      </c>
    </row>
    <row r="56">
      <c r="A56" s="2" t="inlineStr">
        <is>
          <t>path 0</t>
        </is>
      </c>
      <c r="C56" t="n">
        <v>131.4110714285715</v>
      </c>
      <c r="D56" t="n">
        <v>13.52989966555185</v>
      </c>
      <c r="E56" t="n">
        <v>4573.452643446384</v>
      </c>
      <c r="F56" t="n">
        <v>89.30035335689054</v>
      </c>
      <c r="G56" t="n">
        <v>473.6017582417551</v>
      </c>
      <c r="H56" t="n">
        <v>0</v>
      </c>
      <c r="I56" t="n">
        <v>5281.295726139154</v>
      </c>
    </row>
    <row r="57">
      <c r="A57" s="2" t="inlineStr">
        <is>
          <t>path 1</t>
        </is>
      </c>
      <c r="C57" t="n">
        <v>0</v>
      </c>
      <c r="D57" t="n">
        <v>1169.418371806168</v>
      </c>
      <c r="E57" t="n">
        <v>13043.48819982244</v>
      </c>
      <c r="F57" t="n">
        <v>31.29669421487605</v>
      </c>
      <c r="G57" t="n">
        <v>2368.574999999985</v>
      </c>
      <c r="H57" t="n">
        <v>27.57197175448128</v>
      </c>
      <c r="I57" t="n">
        <v>16640.35023759796</v>
      </c>
    </row>
    <row r="58">
      <c r="A58" s="2" t="inlineStr">
        <is>
          <t>path 2</t>
        </is>
      </c>
      <c r="C58" t="n">
        <v>7674.647667143273</v>
      </c>
      <c r="D58" t="n">
        <v>23.74660633484165</v>
      </c>
      <c r="E58" t="n">
        <v>97.07547169811329</v>
      </c>
      <c r="F58" t="n">
        <v>12.57024793388431</v>
      </c>
      <c r="G58" t="n">
        <v>2810.857952153092</v>
      </c>
      <c r="H58" t="n">
        <v>1563.717303797469</v>
      </c>
      <c r="I58" t="n">
        <v>12182.61524906067</v>
      </c>
    </row>
    <row r="59">
      <c r="A59" s="2" t="inlineStr">
        <is>
          <t>path 3</t>
        </is>
      </c>
      <c r="C59" t="n">
        <v>4371.409830508478</v>
      </c>
      <c r="D59" t="n">
        <v>95.99216390498742</v>
      </c>
      <c r="E59" t="n">
        <v>58.72947648929774</v>
      </c>
      <c r="F59" t="n">
        <v>1860.605784139266</v>
      </c>
      <c r="G59" t="n">
        <v>108.9593908629434</v>
      </c>
      <c r="H59" t="n">
        <v>1590.300000000002</v>
      </c>
      <c r="I59" t="n">
        <v>8085.996645904974</v>
      </c>
    </row>
    <row r="60">
      <c r="A60" s="2" t="inlineStr">
        <is>
          <t>path 4</t>
        </is>
      </c>
      <c r="C60" t="n">
        <v>0</v>
      </c>
      <c r="D60" t="n">
        <v>0</v>
      </c>
      <c r="E60" t="n">
        <v>16474.96212375198</v>
      </c>
      <c r="F60" t="n">
        <v>19.97460317460319</v>
      </c>
      <c r="G60" t="n">
        <v>996.323940886693</v>
      </c>
      <c r="H60" t="n">
        <v>261.5941636363638</v>
      </c>
      <c r="I60" t="n">
        <v>17752.85483144964</v>
      </c>
    </row>
    <row r="61">
      <c r="A61" s="2" t="inlineStr">
        <is>
          <t>path 5</t>
        </is>
      </c>
      <c r="C61" t="n">
        <v>8238.09039403325</v>
      </c>
      <c r="D61" t="n">
        <v>43.88048089213275</v>
      </c>
      <c r="E61" t="n">
        <v>6886.502280000006</v>
      </c>
      <c r="F61" t="n">
        <v>24.11151147354449</v>
      </c>
      <c r="G61" t="n">
        <v>7340.323049999953</v>
      </c>
      <c r="H61" t="n">
        <v>9.913740458015276</v>
      </c>
      <c r="I61" t="n">
        <v>22542.8214568569</v>
      </c>
    </row>
    <row r="64">
      <c r="A64" t="inlineStr">
        <is>
          <t>DVA set4</t>
        </is>
      </c>
      <c r="I64" s="12" t="n">
        <v>13747.65569116821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K29"/>
  <sheetViews>
    <sheetView tabSelected="1" workbookViewId="0">
      <selection activeCell="D14" sqref="D14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3" ht="76.5" customHeight="1">
      <c r="A3" s="15" t="inlineStr">
        <is>
          <t>Para el cálculo de las exposiciones esperadas se aplica la fórmula ponderada en tramos de signo distinto.</t>
        </is>
      </c>
    </row>
    <row r="4" ht="30.75" customHeight="1">
      <c r="D4" s="15" t="n"/>
    </row>
    <row r="5">
      <c r="A5" s="22" t="inlineStr"/>
      <c r="B5" s="22" t="inlineStr">
        <is>
          <t>Set 1 Sin Netting</t>
        </is>
      </c>
      <c r="C5" s="22" t="inlineStr">
        <is>
          <t>Set 2 Con Netting</t>
        </is>
      </c>
      <c r="D5" s="22" t="inlineStr">
        <is>
          <t>Set 3 CSA Asimétrico</t>
        </is>
      </c>
      <c r="E5" s="22" t="inlineStr">
        <is>
          <t>Set 4 CSA Simétrico</t>
        </is>
      </c>
      <c r="F5" s="22" t="inlineStr">
        <is>
          <t>Set 5 CSA Sym Estricto</t>
        </is>
      </c>
    </row>
    <row r="6">
      <c r="A6" s="22" t="inlineStr">
        <is>
          <t>CVA</t>
        </is>
      </c>
      <c r="B6" t="n">
        <v>75572.53976639117</v>
      </c>
      <c r="C6" t="n">
        <v>12911.40248422342</v>
      </c>
      <c r="D6" t="n">
        <v>5455.498449143768</v>
      </c>
      <c r="E6" t="n">
        <v>11385.12107324189</v>
      </c>
      <c r="F6" t="n">
        <v>12763.46693150593</v>
      </c>
    </row>
    <row r="7">
      <c r="A7" s="22" t="inlineStr">
        <is>
          <t>DVA</t>
        </is>
      </c>
      <c r="B7" t="n">
        <v>88217.95857678245</v>
      </c>
      <c r="C7" t="n">
        <v>26951.27187245874</v>
      </c>
      <c r="D7" t="n">
        <v>31503.9434464007</v>
      </c>
      <c r="E7" t="n">
        <v>13747.65569116821</v>
      </c>
      <c r="F7" t="n">
        <v>14156.49660551892</v>
      </c>
    </row>
    <row r="8">
      <c r="A8" s="22" t="inlineStr">
        <is>
          <t>DVA − CVA</t>
        </is>
      </c>
      <c r="B8" t="n">
        <v>12645.41881039127</v>
      </c>
      <c r="C8" t="n">
        <v>14039.86938823532</v>
      </c>
      <c r="D8" t="n">
        <v>26048.44499725693</v>
      </c>
      <c r="E8" t="n">
        <v>2362.534617926329</v>
      </c>
      <c r="F8" t="n">
        <v>1393.029674012985</v>
      </c>
    </row>
    <row r="9"/>
    <row r="10"/>
    <row r="11">
      <c r="A11" s="22" t="inlineStr">
        <is>
          <t>Bonus track — FVA (FB / FC) sobre cuentas de colateral</t>
        </is>
      </c>
    </row>
    <row r="12">
      <c r="A12" s="22" t="inlineStr">
        <is>
          <t>FB (1% remun.)</t>
        </is>
      </c>
      <c r="B12" t="inlineStr">
        <is>
          <t>—</t>
        </is>
      </c>
      <c r="C12" t="inlineStr">
        <is>
          <t>—</t>
        </is>
      </c>
      <c r="D12" t="n">
        <v>615.5456041666665</v>
      </c>
      <c r="E12" t="n">
        <v>611.7614374999999</v>
      </c>
      <c r="F12" t="n">
        <v>682.7769236111111</v>
      </c>
    </row>
    <row r="13">
      <c r="A13" s="22" t="inlineStr">
        <is>
          <t>FC (1.5% fund.)</t>
        </is>
      </c>
      <c r="B13" t="inlineStr">
        <is>
          <t>—</t>
        </is>
      </c>
      <c r="C13" t="inlineStr">
        <is>
          <t>—</t>
        </is>
      </c>
      <c r="D13" t="n">
        <v>0</v>
      </c>
      <c r="E13" t="n">
        <v>1360.022402083333</v>
      </c>
      <c r="F13" t="n">
        <v>1479.007124305555</v>
      </c>
    </row>
    <row r="14">
      <c r="A14" s="22" t="inlineStr">
        <is>
          <t>Net FVA</t>
        </is>
      </c>
      <c r="B14" t="inlineStr">
        <is>
          <t>—</t>
        </is>
      </c>
      <c r="C14" t="inlineStr">
        <is>
          <t>—</t>
        </is>
      </c>
      <c r="D14" t="n">
        <v>615.5456041666665</v>
      </c>
      <c r="E14" t="n">
        <v>-748.2609645833328</v>
      </c>
      <c r="F14" t="n">
        <v>-796.2302006944441</v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23" t="inlineStr">
        <is>
          <t>Set 5 — CSA Simétrico Estricto (Threshold = 0, MTA = 1.000)</t>
        </is>
      </c>
    </row>
    <row r="2">
      <c r="A2" s="22" t="inlineStr">
        <is>
          <t>Simulaciones del valor presente del derivado NET (RISK Free)</t>
        </is>
      </c>
      <c r="B2" s="24" t="n">
        <v>46023</v>
      </c>
      <c r="C2" s="24" t="n">
        <v>46054</v>
      </c>
      <c r="D2" s="24" t="n">
        <v>46082</v>
      </c>
      <c r="E2" s="24" t="n">
        <v>46113</v>
      </c>
      <c r="F2" s="24" t="n">
        <v>46143</v>
      </c>
      <c r="G2" s="24" t="n">
        <v>46174</v>
      </c>
      <c r="H2" s="24" t="n">
        <v>46204</v>
      </c>
    </row>
    <row r="3">
      <c r="A3" t="inlineStr">
        <is>
          <t>path 0</t>
        </is>
      </c>
      <c r="B3" t="n">
        <v>250000</v>
      </c>
      <c r="C3" t="n">
        <v>-86000</v>
      </c>
      <c r="D3" t="n">
        <v>1199700</v>
      </c>
      <c r="E3" t="n">
        <v>-109500</v>
      </c>
      <c r="F3" t="n">
        <v>315000</v>
      </c>
      <c r="G3" t="n">
        <v>42000</v>
      </c>
      <c r="H3" t="n">
        <v>20000</v>
      </c>
    </row>
    <row r="4">
      <c r="A4" t="inlineStr">
        <is>
          <t>path 1</t>
        </is>
      </c>
      <c r="B4" t="n">
        <v>250000</v>
      </c>
      <c r="C4" t="n">
        <v>800000</v>
      </c>
      <c r="D4" t="n">
        <v>119000</v>
      </c>
      <c r="E4" t="n">
        <v>-3260000</v>
      </c>
      <c r="F4" t="n">
        <v>-2050000</v>
      </c>
      <c r="G4" t="n">
        <v>-2400000</v>
      </c>
      <c r="H4" t="n">
        <v>-1479500</v>
      </c>
    </row>
    <row r="5">
      <c r="A5" t="inlineStr">
        <is>
          <t>path 2</t>
        </is>
      </c>
      <c r="B5" t="n">
        <v>250000</v>
      </c>
      <c r="C5" t="n">
        <v>-1498500</v>
      </c>
      <c r="D5" t="n">
        <v>-504000</v>
      </c>
      <c r="E5" t="n">
        <v>-80000</v>
      </c>
      <c r="F5" t="n">
        <v>1856000</v>
      </c>
      <c r="G5" t="n">
        <v>1020000</v>
      </c>
      <c r="H5" t="n">
        <v>230000</v>
      </c>
    </row>
    <row r="6">
      <c r="A6" t="inlineStr">
        <is>
          <t>path 3</t>
        </is>
      </c>
      <c r="B6" t="n">
        <v>250000</v>
      </c>
      <c r="C6" t="n">
        <v>-930000</v>
      </c>
      <c r="D6" t="n">
        <v>-684980</v>
      </c>
      <c r="E6" t="n">
        <v>13000</v>
      </c>
      <c r="F6" t="n">
        <v>-504000</v>
      </c>
      <c r="G6" t="n">
        <v>-110000</v>
      </c>
      <c r="H6" t="n">
        <v>-530000</v>
      </c>
    </row>
    <row r="7">
      <c r="A7" t="inlineStr">
        <is>
          <t>path 4</t>
        </is>
      </c>
      <c r="B7" t="n">
        <v>250000</v>
      </c>
      <c r="C7" t="n">
        <v>899900</v>
      </c>
      <c r="D7" t="n">
        <v>2952200</v>
      </c>
      <c r="E7" t="n">
        <v>-1244000</v>
      </c>
      <c r="F7" t="n">
        <v>646000</v>
      </c>
      <c r="G7" t="n">
        <v>240000</v>
      </c>
      <c r="H7" t="n">
        <v>-24000</v>
      </c>
    </row>
    <row r="8">
      <c r="A8" t="inlineStr">
        <is>
          <t>path 5</t>
        </is>
      </c>
      <c r="B8" t="n">
        <v>250000</v>
      </c>
      <c r="C8" t="n">
        <v>-1590430</v>
      </c>
      <c r="D8" t="n">
        <v>-1050600</v>
      </c>
      <c r="E8" t="n">
        <v>-2522000</v>
      </c>
      <c r="F8" t="n">
        <v>-940100</v>
      </c>
      <c r="G8" t="n">
        <v>-2420000</v>
      </c>
      <c r="H8" t="n">
        <v>200000</v>
      </c>
    </row>
    <row r="11">
      <c r="A11" s="22" t="inlineStr">
        <is>
          <t>Cuenta de Colateral</t>
        </is>
      </c>
      <c r="B11" s="24" t="n">
        <v>46023</v>
      </c>
      <c r="C11" s="24" t="n">
        <v>46054</v>
      </c>
      <c r="D11" s="24" t="n">
        <v>46082</v>
      </c>
      <c r="E11" s="24" t="n">
        <v>46113</v>
      </c>
      <c r="F11" s="24" t="n">
        <v>46143</v>
      </c>
      <c r="G11" s="24" t="n">
        <v>46174</v>
      </c>
      <c r="H11" s="24" t="n">
        <v>46204</v>
      </c>
    </row>
    <row r="12">
      <c r="A12" t="inlineStr">
        <is>
          <t>path 0</t>
        </is>
      </c>
      <c r="B12" t="n">
        <v>0</v>
      </c>
      <c r="C12" t="n">
        <v>-86000</v>
      </c>
      <c r="D12" t="n">
        <v>1199700</v>
      </c>
      <c r="E12" t="n">
        <v>-109500</v>
      </c>
      <c r="F12" t="n">
        <v>315000</v>
      </c>
      <c r="G12" t="n">
        <v>42000</v>
      </c>
      <c r="H12" t="n">
        <v>20000</v>
      </c>
    </row>
    <row r="13">
      <c r="A13" t="inlineStr">
        <is>
          <t>path 1</t>
        </is>
      </c>
      <c r="B13" t="n">
        <v>0</v>
      </c>
      <c r="C13" t="n">
        <v>800000</v>
      </c>
      <c r="D13" t="n">
        <v>119000</v>
      </c>
      <c r="E13" t="n">
        <v>-3260000</v>
      </c>
      <c r="F13" t="n">
        <v>-2050000</v>
      </c>
      <c r="G13" t="n">
        <v>-2400000</v>
      </c>
      <c r="H13" t="n">
        <v>-1479500</v>
      </c>
    </row>
    <row r="14">
      <c r="A14" t="inlineStr">
        <is>
          <t>path 2</t>
        </is>
      </c>
      <c r="B14" t="n">
        <v>0</v>
      </c>
      <c r="C14" t="n">
        <v>-1498500</v>
      </c>
      <c r="D14" t="n">
        <v>-504000</v>
      </c>
      <c r="E14" t="n">
        <v>-80000</v>
      </c>
      <c r="F14" t="n">
        <v>1856000</v>
      </c>
      <c r="G14" t="n">
        <v>1020000</v>
      </c>
      <c r="H14" t="n">
        <v>230000</v>
      </c>
    </row>
    <row r="15">
      <c r="A15" t="inlineStr">
        <is>
          <t>path 3</t>
        </is>
      </c>
      <c r="B15" t="n">
        <v>0</v>
      </c>
      <c r="C15" t="n">
        <v>-930000</v>
      </c>
      <c r="D15" t="n">
        <v>-684980</v>
      </c>
      <c r="E15" t="n">
        <v>13000</v>
      </c>
      <c r="F15" t="n">
        <v>-504000</v>
      </c>
      <c r="G15" t="n">
        <v>-110000</v>
      </c>
      <c r="H15" t="n">
        <v>-530000</v>
      </c>
    </row>
    <row r="16">
      <c r="A16" t="inlineStr">
        <is>
          <t>path 4</t>
        </is>
      </c>
      <c r="B16" t="n">
        <v>0</v>
      </c>
      <c r="C16" t="n">
        <v>899900</v>
      </c>
      <c r="D16" t="n">
        <v>2952200</v>
      </c>
      <c r="E16" t="n">
        <v>-1244000</v>
      </c>
      <c r="F16" t="n">
        <v>646000</v>
      </c>
      <c r="G16" t="n">
        <v>240000</v>
      </c>
      <c r="H16" t="n">
        <v>-24000</v>
      </c>
    </row>
    <row r="17">
      <c r="A17" t="inlineStr">
        <is>
          <t>path 5</t>
        </is>
      </c>
      <c r="B17" t="n">
        <v>0</v>
      </c>
      <c r="C17" t="n">
        <v>-1590430</v>
      </c>
      <c r="D17" t="n">
        <v>-1050600</v>
      </c>
      <c r="E17" t="n">
        <v>-2522000</v>
      </c>
      <c r="F17" t="n">
        <v>-940100</v>
      </c>
      <c r="G17" t="n">
        <v>-2420000</v>
      </c>
      <c r="H17" t="n">
        <v>200000</v>
      </c>
    </row>
    <row r="20">
      <c r="A20" s="22" t="inlineStr">
        <is>
          <t>EXPOSICION + CSA</t>
        </is>
      </c>
      <c r="C20" t="inlineStr">
        <is>
          <t>int1</t>
        </is>
      </c>
      <c r="D20" t="inlineStr">
        <is>
          <t>int2</t>
        </is>
      </c>
      <c r="E20" t="inlineStr">
        <is>
          <t>int3</t>
        </is>
      </c>
      <c r="F20" t="inlineStr">
        <is>
          <t>int4</t>
        </is>
      </c>
      <c r="G20" t="inlineStr">
        <is>
          <t>int5</t>
        </is>
      </c>
      <c r="H20" t="inlineStr">
        <is>
          <t>int6</t>
        </is>
      </c>
    </row>
    <row r="21">
      <c r="A21" t="inlineStr">
        <is>
          <t>path 0</t>
        </is>
      </c>
      <c r="C21" t="n">
        <v>93005.95238095238</v>
      </c>
      <c r="D21" t="n">
        <v>642850</v>
      </c>
      <c r="E21" t="n">
        <v>0</v>
      </c>
      <c r="F21" t="n">
        <v>212250</v>
      </c>
      <c r="G21" t="n">
        <v>0</v>
      </c>
      <c r="H21" t="n">
        <v>0</v>
      </c>
    </row>
    <row r="22">
      <c r="A22" t="inlineStr">
        <is>
          <t>path 1</t>
        </is>
      </c>
      <c r="C22" t="n">
        <v>525000</v>
      </c>
      <c r="D22" t="n">
        <v>0</v>
      </c>
      <c r="E22" t="n">
        <v>0</v>
      </c>
      <c r="F22" t="n">
        <v>605000</v>
      </c>
      <c r="G22" t="n">
        <v>0</v>
      </c>
      <c r="H22" t="n">
        <v>460250</v>
      </c>
    </row>
    <row r="23">
      <c r="A23" t="inlineStr">
        <is>
          <t>path 2</t>
        </is>
      </c>
      <c r="C23" t="n">
        <v>17872.46211038033</v>
      </c>
      <c r="D23" t="n">
        <v>497250</v>
      </c>
      <c r="E23" t="n">
        <v>212000</v>
      </c>
      <c r="F23" t="n">
        <v>968000</v>
      </c>
      <c r="G23" t="n">
        <v>0</v>
      </c>
      <c r="H23" t="n">
        <v>0</v>
      </c>
    </row>
    <row r="24">
      <c r="A24" t="inlineStr">
        <is>
          <t>path 3</t>
        </is>
      </c>
      <c r="C24" t="n">
        <v>26483.05084745763</v>
      </c>
      <c r="D24" t="n">
        <v>122510</v>
      </c>
      <c r="E24" t="n">
        <v>348990</v>
      </c>
      <c r="F24" t="n">
        <v>0</v>
      </c>
      <c r="G24" t="n">
        <v>197000</v>
      </c>
      <c r="H24" t="n">
        <v>0</v>
      </c>
    </row>
    <row r="25">
      <c r="A25" t="inlineStr">
        <is>
          <t>path 4</t>
        </is>
      </c>
      <c r="C25" t="n">
        <v>574950</v>
      </c>
      <c r="D25" t="n">
        <v>1026150</v>
      </c>
      <c r="E25" t="n">
        <v>0</v>
      </c>
      <c r="F25" t="n">
        <v>945000</v>
      </c>
      <c r="G25" t="n">
        <v>0</v>
      </c>
      <c r="H25" t="n">
        <v>0</v>
      </c>
    </row>
    <row r="26">
      <c r="A26" t="inlineStr">
        <is>
          <t>path 5</t>
        </is>
      </c>
      <c r="C26" t="n">
        <v>16979.72756366719</v>
      </c>
      <c r="D26" t="n">
        <v>269915</v>
      </c>
      <c r="E26" t="n">
        <v>0</v>
      </c>
      <c r="F26" t="n">
        <v>790950</v>
      </c>
      <c r="G26" t="n">
        <v>0</v>
      </c>
      <c r="H26" t="n">
        <v>1310000</v>
      </c>
    </row>
    <row r="29">
      <c r="A29" s="22" t="inlineStr">
        <is>
          <t>EXPOSICION - CSA</t>
        </is>
      </c>
      <c r="C29" t="inlineStr">
        <is>
          <t>int1</t>
        </is>
      </c>
      <c r="D29" t="inlineStr">
        <is>
          <t>int2</t>
        </is>
      </c>
      <c r="E29" t="inlineStr">
        <is>
          <t>int3</t>
        </is>
      </c>
      <c r="F29" t="inlineStr">
        <is>
          <t>int4</t>
        </is>
      </c>
      <c r="G29" t="inlineStr">
        <is>
          <t>int5</t>
        </is>
      </c>
      <c r="H29" t="inlineStr">
        <is>
          <t>int6</t>
        </is>
      </c>
    </row>
    <row r="30">
      <c r="A30" t="inlineStr">
        <is>
          <t>path 0</t>
        </is>
      </c>
      <c r="C30" t="n">
        <v>11005.95238095238</v>
      </c>
      <c r="D30" t="n">
        <v>0</v>
      </c>
      <c r="E30" t="n">
        <v>654600</v>
      </c>
      <c r="F30" t="n">
        <v>0</v>
      </c>
      <c r="G30" t="n">
        <v>136500</v>
      </c>
      <c r="H30" t="n">
        <v>11000</v>
      </c>
    </row>
    <row r="31">
      <c r="A31" t="inlineStr">
        <is>
          <t>path 1</t>
        </is>
      </c>
      <c r="C31" t="n">
        <v>0</v>
      </c>
      <c r="D31" t="n">
        <v>340500</v>
      </c>
      <c r="E31" t="n">
        <v>1689500</v>
      </c>
      <c r="F31" t="n">
        <v>0</v>
      </c>
      <c r="G31" t="n">
        <v>175000</v>
      </c>
      <c r="H31" t="n">
        <v>0</v>
      </c>
    </row>
    <row r="32">
      <c r="A32" t="inlineStr">
        <is>
          <t>path 2</t>
        </is>
      </c>
      <c r="C32" t="n">
        <v>642122.4621103804</v>
      </c>
      <c r="D32" t="n">
        <v>0</v>
      </c>
      <c r="E32" t="n">
        <v>0</v>
      </c>
      <c r="F32" t="n">
        <v>0</v>
      </c>
      <c r="G32" t="n">
        <v>418000</v>
      </c>
      <c r="H32" t="n">
        <v>395000</v>
      </c>
    </row>
    <row r="33">
      <c r="A33" t="inlineStr">
        <is>
          <t>path 3</t>
        </is>
      </c>
      <c r="C33" t="n">
        <v>366483.0508474576</v>
      </c>
      <c r="D33" t="n">
        <v>0</v>
      </c>
      <c r="E33" t="n">
        <v>0</v>
      </c>
      <c r="F33" t="n">
        <v>258500</v>
      </c>
      <c r="G33" t="n">
        <v>0</v>
      </c>
      <c r="H33" t="n">
        <v>210000</v>
      </c>
    </row>
    <row r="34">
      <c r="A34" t="inlineStr">
        <is>
          <t>path 4</t>
        </is>
      </c>
      <c r="C34" t="n">
        <v>0</v>
      </c>
      <c r="D34" t="n">
        <v>0</v>
      </c>
      <c r="E34" t="n">
        <v>2098100</v>
      </c>
      <c r="F34" t="n">
        <v>0</v>
      </c>
      <c r="G34" t="n">
        <v>203000</v>
      </c>
      <c r="H34" t="n">
        <v>132000</v>
      </c>
    </row>
    <row r="35">
      <c r="A35" t="inlineStr">
        <is>
          <t>path 5</t>
        </is>
      </c>
      <c r="C35" t="n">
        <v>687194.7275636672</v>
      </c>
      <c r="D35" t="n">
        <v>0</v>
      </c>
      <c r="E35" t="n">
        <v>735700</v>
      </c>
      <c r="F35" t="n">
        <v>0</v>
      </c>
      <c r="G35" t="n">
        <v>739950</v>
      </c>
      <c r="H35" t="n">
        <v>0</v>
      </c>
    </row>
    <row r="38">
      <c r="A38" s="22" t="inlineStr">
        <is>
          <t>AJUSTE CVA set5</t>
        </is>
      </c>
      <c r="C38" t="inlineStr">
        <is>
          <t>int1</t>
        </is>
      </c>
      <c r="D38" t="inlineStr">
        <is>
          <t>int2</t>
        </is>
      </c>
      <c r="E38" t="inlineStr">
        <is>
          <t>int3</t>
        </is>
      </c>
      <c r="F38" t="inlineStr">
        <is>
          <t>int4</t>
        </is>
      </c>
      <c r="G38" t="inlineStr">
        <is>
          <t>int5</t>
        </is>
      </c>
      <c r="H38" t="inlineStr">
        <is>
          <t>int6</t>
        </is>
      </c>
      <c r="I38" t="inlineStr">
        <is>
          <t>CVA por escenario</t>
        </is>
      </c>
    </row>
    <row r="39">
      <c r="A39" t="inlineStr">
        <is>
          <t>path 0</t>
        </is>
      </c>
      <c r="C39" t="n">
        <v>1082.728794642858</v>
      </c>
      <c r="D39" t="n">
        <v>2834.968500000002</v>
      </c>
      <c r="E39" t="n">
        <v>0</v>
      </c>
      <c r="F39" t="n">
        <v>1856.762999999991</v>
      </c>
      <c r="G39" t="n">
        <v>0</v>
      </c>
      <c r="H39" t="n">
        <v>0</v>
      </c>
      <c r="I39" t="n">
        <v>5774.460294642851</v>
      </c>
    </row>
    <row r="40">
      <c r="A40" t="inlineStr">
        <is>
          <t>path 1</t>
        </is>
      </c>
      <c r="C40" t="n">
        <v>6087.217500000004</v>
      </c>
      <c r="D40" t="n">
        <v>0</v>
      </c>
      <c r="E40" t="n">
        <v>0</v>
      </c>
      <c r="F40" t="n">
        <v>5287.094999999975</v>
      </c>
      <c r="G40" t="n">
        <v>0</v>
      </c>
      <c r="H40" t="n">
        <v>3114.972000000002</v>
      </c>
      <c r="I40" t="n">
        <v>14489.28449999998</v>
      </c>
    </row>
    <row r="41">
      <c r="A41" t="inlineStr">
        <is>
          <t>path 2</t>
        </is>
      </c>
      <c r="C41" t="n">
        <v>208.2713754646842</v>
      </c>
      <c r="D41" t="n">
        <v>2201.823000000002</v>
      </c>
      <c r="E41" t="n">
        <v>2243.808000000002</v>
      </c>
      <c r="F41" t="n">
        <v>8494.199999999959</v>
      </c>
      <c r="G41" t="n">
        <v>0</v>
      </c>
      <c r="H41" t="n">
        <v>0</v>
      </c>
      <c r="I41" t="n">
        <v>13148.10237546465</v>
      </c>
    </row>
    <row r="42">
      <c r="A42" t="inlineStr">
        <is>
          <t>path 3</t>
        </is>
      </c>
      <c r="C42" t="n">
        <v>307.9925847457629</v>
      </c>
      <c r="D42" t="n">
        <v>540.2691000000004</v>
      </c>
      <c r="E42" t="n">
        <v>3678.633792000003</v>
      </c>
      <c r="F42" t="n">
        <v>0</v>
      </c>
      <c r="G42" t="n">
        <v>1691.442000000001</v>
      </c>
      <c r="H42" t="n">
        <v>0</v>
      </c>
      <c r="I42" t="n">
        <v>6218.337476745767</v>
      </c>
    </row>
    <row r="43">
      <c r="A43" t="inlineStr">
        <is>
          <t>path 4</t>
        </is>
      </c>
      <c r="C43" t="n">
        <v>6713.461170000005</v>
      </c>
      <c r="D43" t="n">
        <v>4571.498250000004</v>
      </c>
      <c r="E43" t="n">
        <v>0</v>
      </c>
      <c r="F43" t="n">
        <v>8232.83999999996</v>
      </c>
      <c r="G43" t="n">
        <v>0</v>
      </c>
      <c r="H43" t="n">
        <v>0</v>
      </c>
      <c r="I43" t="n">
        <v>19517.79941999997</v>
      </c>
    </row>
    <row r="44">
      <c r="A44" t="inlineStr">
        <is>
          <t>path 5</t>
        </is>
      </c>
      <c r="C44" t="n">
        <v>198.4641496824113</v>
      </c>
      <c r="D44" t="n">
        <v>1198.827472500001</v>
      </c>
      <c r="E44" t="n">
        <v>0</v>
      </c>
      <c r="F44" t="n">
        <v>6961.941899999966</v>
      </c>
      <c r="G44" t="n">
        <v>0</v>
      </c>
      <c r="H44" t="n">
        <v>9073.584000000008</v>
      </c>
      <c r="I44" t="n">
        <v>17432.81752218238</v>
      </c>
    </row>
    <row r="46">
      <c r="A46" s="22" t="inlineStr">
        <is>
          <t>CVA set5</t>
        </is>
      </c>
      <c r="I46" t="n">
        <v>12763.46693150593</v>
      </c>
    </row>
    <row r="50">
      <c r="A50" s="22" t="inlineStr">
        <is>
          <t>AJUSTE DVA set5</t>
        </is>
      </c>
      <c r="C50" t="inlineStr">
        <is>
          <t>int1</t>
        </is>
      </c>
      <c r="D50" t="inlineStr">
        <is>
          <t>int2</t>
        </is>
      </c>
      <c r="E50" t="inlineStr">
        <is>
          <t>int3</t>
        </is>
      </c>
      <c r="F50" t="inlineStr">
        <is>
          <t>int4</t>
        </is>
      </c>
      <c r="G50" t="inlineStr">
        <is>
          <t>int5</t>
        </is>
      </c>
      <c r="H50" t="inlineStr">
        <is>
          <t>int6</t>
        </is>
      </c>
      <c r="I50" t="inlineStr">
        <is>
          <t>DVA por escenario</t>
        </is>
      </c>
    </row>
    <row r="51">
      <c r="A51" t="inlineStr">
        <is>
          <t>path 0</t>
        </is>
      </c>
      <c r="C51" t="n">
        <v>131.4110714285715</v>
      </c>
      <c r="D51" t="n">
        <v>0</v>
      </c>
      <c r="E51" t="n">
        <v>5361.174000000005</v>
      </c>
      <c r="F51" t="n">
        <v>0</v>
      </c>
      <c r="G51" t="n">
        <v>1179.359999999992</v>
      </c>
      <c r="H51" t="n">
        <v>56.43000000000005</v>
      </c>
      <c r="I51" t="n">
        <v>6728.375071428569</v>
      </c>
    </row>
    <row r="52">
      <c r="A52" t="inlineStr">
        <is>
          <t>path 1</t>
        </is>
      </c>
      <c r="C52" t="n">
        <v>0</v>
      </c>
      <c r="D52" t="n">
        <v>1606.615200000001</v>
      </c>
      <c r="E52" t="n">
        <v>13851.19680000001</v>
      </c>
      <c r="F52" t="n">
        <v>0</v>
      </c>
      <c r="G52" t="n">
        <v>1507.27499999999</v>
      </c>
      <c r="H52" t="n">
        <v>0</v>
      </c>
      <c r="I52" t="n">
        <v>16965.087</v>
      </c>
    </row>
    <row r="53">
      <c r="A53" t="inlineStr">
        <is>
          <t>path 2</t>
        </is>
      </c>
      <c r="C53" t="n">
        <v>7674.647667143273</v>
      </c>
      <c r="D53" t="n">
        <v>0</v>
      </c>
      <c r="E53" t="n">
        <v>0</v>
      </c>
      <c r="F53" t="n">
        <v>0</v>
      </c>
      <c r="G53" t="n">
        <v>3626.567999999976</v>
      </c>
      <c r="H53" t="n">
        <v>2049.813000000001</v>
      </c>
      <c r="I53" t="n">
        <v>13351.02866714325</v>
      </c>
    </row>
    <row r="54">
      <c r="A54" t="inlineStr">
        <is>
          <t>path 3</t>
        </is>
      </c>
      <c r="C54" t="n">
        <v>4371.409830508478</v>
      </c>
      <c r="D54" t="n">
        <v>0</v>
      </c>
      <c r="E54" t="n">
        <v>0</v>
      </c>
      <c r="F54" t="n">
        <v>1957.827300000002</v>
      </c>
      <c r="G54" t="n">
        <v>0</v>
      </c>
      <c r="H54" t="n">
        <v>1077.300000000001</v>
      </c>
      <c r="I54" t="n">
        <v>7406.537130508481</v>
      </c>
    </row>
    <row r="55">
      <c r="A55" t="inlineStr">
        <is>
          <t>path 4</t>
        </is>
      </c>
      <c r="C55" t="n">
        <v>0</v>
      </c>
      <c r="D55" t="n">
        <v>0</v>
      </c>
      <c r="E55" t="n">
        <v>17289.18324000001</v>
      </c>
      <c r="F55" t="n">
        <v>0</v>
      </c>
      <c r="G55" t="n">
        <v>1753.919999999988</v>
      </c>
      <c r="H55" t="n">
        <v>677.8728000000006</v>
      </c>
      <c r="I55" t="n">
        <v>19720.97604</v>
      </c>
    </row>
    <row r="56">
      <c r="A56" t="inlineStr">
        <is>
          <t>path 5</t>
        </is>
      </c>
      <c r="C56" t="n">
        <v>8238.09039403325</v>
      </c>
      <c r="D56" t="n">
        <v>0</v>
      </c>
      <c r="E56" t="n">
        <v>6062.462280000005</v>
      </c>
      <c r="F56" t="n">
        <v>0</v>
      </c>
      <c r="G56" t="n">
        <v>6466.423049999958</v>
      </c>
      <c r="H56" t="n">
        <v>0</v>
      </c>
      <c r="I56" t="n">
        <v>20766.97572403321</v>
      </c>
    </row>
    <row r="58">
      <c r="A58" s="22" t="inlineStr">
        <is>
          <t>DVA set5</t>
        </is>
      </c>
      <c r="I58" t="n">
        <v>14156.49660551892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23" t="inlineStr">
        <is>
          <t>Bonus Track — FVA (Funding Valuation Adjustment)</t>
        </is>
      </c>
    </row>
    <row r="2">
      <c r="A2" t="inlineStr">
        <is>
          <t>Remuneración colateral: 1% anual   |   Coste de financiación A: 1.5% anual</t>
        </is>
      </c>
    </row>
    <row r="3">
      <c r="A3" t="inlineStr">
        <is>
          <t>Spread efectivo: 0,5% anual aplicado sobre Coll(t) durante el tramo Δt = 1/12</t>
        </is>
      </c>
    </row>
    <row r="5">
      <c r="A5" s="22" t="inlineStr">
        <is>
          <t>Convención</t>
        </is>
      </c>
    </row>
    <row r="6">
      <c r="A6" t="inlineStr">
        <is>
          <t>FB (Funding Benefit): A recibe colateral (Coll&gt;0) y financia más barato → ahorro = 0,5% anual.</t>
        </is>
      </c>
    </row>
    <row r="7">
      <c r="A7" t="inlineStr">
        <is>
          <t>FC (Funding Cost):   A postea colateral (Coll&lt;0) y financia al 1,5% percibiendo 1% → coste = 0,5%.</t>
        </is>
      </c>
    </row>
    <row r="8">
      <c r="A8" t="inlineStr">
        <is>
          <t>FB(t→t+1) = Coll⁺(t) × spread × Δt × DF^p(t+1);   FC(t→t+1) = |Coll⁻(t)| × spread × Δt × DF^p(t+1)</t>
        </is>
      </c>
    </row>
    <row r="10">
      <c r="A10" s="22" t="inlineStr">
        <is>
          <t>Resumen por Set</t>
        </is>
      </c>
    </row>
    <row r="11">
      <c r="A11" s="22" t="inlineStr">
        <is>
          <t>Set</t>
        </is>
      </c>
      <c r="B11" s="22" t="inlineStr">
        <is>
          <t>FB (Funding Benefit)</t>
        </is>
      </c>
      <c r="C11" s="22" t="inlineStr">
        <is>
          <t>FC (Funding Cost)</t>
        </is>
      </c>
      <c r="D11" s="22" t="inlineStr">
        <is>
          <t>Net FVA = FB − FC</t>
        </is>
      </c>
    </row>
    <row r="12">
      <c r="A12" t="inlineStr">
        <is>
          <t>Set 3 — CSA Asimétrico</t>
        </is>
      </c>
      <c r="B12" t="n">
        <v>615.5456041666665</v>
      </c>
      <c r="C12" t="n">
        <v>0</v>
      </c>
      <c r="D12" t="n">
        <v>615.5456041666665</v>
      </c>
    </row>
    <row r="13">
      <c r="A13" t="inlineStr">
        <is>
          <t>Set 4 — CSA Simétrico</t>
        </is>
      </c>
      <c r="B13" t="n">
        <v>611.7614374999999</v>
      </c>
      <c r="C13" t="n">
        <v>1360.022402083333</v>
      </c>
      <c r="D13" t="n">
        <v>-748.2609645833328</v>
      </c>
    </row>
    <row r="14">
      <c r="A14" t="inlineStr">
        <is>
          <t>Set 5 — CSA Sym Estricto</t>
        </is>
      </c>
      <c r="B14" t="n">
        <v>682.7769236111111</v>
      </c>
      <c r="C14" t="n">
        <v>1479.007124305555</v>
      </c>
      <c r="D14" t="n">
        <v>-796.2302006944441</v>
      </c>
    </row>
    <row r="17">
      <c r="A17" s="22" t="inlineStr">
        <is>
          <t>Detalle por path</t>
        </is>
      </c>
    </row>
    <row r="18">
      <c r="A18" s="22" t="inlineStr">
        <is>
          <t>Set</t>
        </is>
      </c>
      <c r="B18" s="22" t="inlineStr">
        <is>
          <t>Métrica</t>
        </is>
      </c>
      <c r="C18" s="22" t="inlineStr">
        <is>
          <t>path 0</t>
        </is>
      </c>
      <c r="D18" s="22" t="inlineStr">
        <is>
          <t>path 1</t>
        </is>
      </c>
      <c r="E18" s="22" t="inlineStr">
        <is>
          <t>path 2</t>
        </is>
      </c>
      <c r="F18" s="22" t="inlineStr">
        <is>
          <t>path 3</t>
        </is>
      </c>
      <c r="G18" s="22" t="inlineStr">
        <is>
          <t>path 4</t>
        </is>
      </c>
      <c r="H18" s="22" t="inlineStr">
        <is>
          <t>path 5</t>
        </is>
      </c>
      <c r="I18" s="22" t="inlineStr">
        <is>
          <t>Media</t>
        </is>
      </c>
    </row>
    <row r="19">
      <c r="A19" t="inlineStr">
        <is>
          <t>Set 3 — CSA Asimétrico</t>
        </is>
      </c>
      <c r="B19" t="inlineStr">
        <is>
          <t>FB</t>
        </is>
      </c>
      <c r="C19" t="n">
        <v>532.7531249999998</v>
      </c>
      <c r="D19" t="n">
        <v>317.14</v>
      </c>
      <c r="E19" t="n">
        <v>1073.71</v>
      </c>
      <c r="F19" t="n">
        <v>0</v>
      </c>
      <c r="G19" t="n">
        <v>1769.6705</v>
      </c>
      <c r="H19" t="n">
        <v>0</v>
      </c>
      <c r="I19" t="n">
        <v>615.5456041666665</v>
      </c>
    </row>
    <row r="20">
      <c r="A20" t="inlineStr">
        <is>
          <t>Set 3 — CSA Asimétrico</t>
        </is>
      </c>
      <c r="B20" t="inlineStr">
        <is>
          <t>FC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Set 4 — CSA Simétrico</t>
        </is>
      </c>
      <c r="B21" t="inlineStr">
        <is>
          <t>FB</t>
        </is>
      </c>
      <c r="C21" t="n">
        <v>532.7531249999998</v>
      </c>
      <c r="D21" t="n">
        <v>294.435</v>
      </c>
      <c r="E21" t="n">
        <v>1073.71</v>
      </c>
      <c r="F21" t="n">
        <v>0</v>
      </c>
      <c r="G21" t="n">
        <v>1769.6705</v>
      </c>
      <c r="H21" t="n">
        <v>0</v>
      </c>
      <c r="I21" t="n">
        <v>611.7614374999999</v>
      </c>
    </row>
    <row r="22">
      <c r="A22" t="inlineStr">
        <is>
          <t>Set 4 — CSA Simétrico</t>
        </is>
      </c>
      <c r="B22" t="inlineStr">
        <is>
          <t>FC</t>
        </is>
      </c>
      <c r="C22" t="n">
        <v>3.847499999999999</v>
      </c>
      <c r="D22" t="n">
        <v>2956.879166666666</v>
      </c>
      <c r="E22" t="n">
        <v>738.3516666666665</v>
      </c>
      <c r="F22" t="n">
        <v>741.3568666666664</v>
      </c>
      <c r="G22" t="n">
        <v>461.4133333333332</v>
      </c>
      <c r="H22" t="n">
        <v>3258.285879166666</v>
      </c>
      <c r="I22" t="n">
        <v>1360.022402083333</v>
      </c>
    </row>
    <row r="23">
      <c r="A23" t="inlineStr">
        <is>
          <t>Set 5 — CSA Sym Estricto</t>
        </is>
      </c>
      <c r="B23" t="inlineStr">
        <is>
          <t>FB</t>
        </is>
      </c>
      <c r="C23" t="n">
        <v>630.0031249999998</v>
      </c>
      <c r="D23" t="n">
        <v>376.0599999999999</v>
      </c>
      <c r="E23" t="n">
        <v>1153.918333333333</v>
      </c>
      <c r="F23" t="n">
        <v>5.259583333333332</v>
      </c>
      <c r="G23" t="n">
        <v>1931.4205</v>
      </c>
      <c r="H23" t="n">
        <v>0</v>
      </c>
      <c r="I23" t="n">
        <v>682.7769236111111</v>
      </c>
    </row>
    <row r="24">
      <c r="A24" t="inlineStr">
        <is>
          <t>Set 5 — CSA Sym Estricto</t>
        </is>
      </c>
      <c r="B24" t="inlineStr">
        <is>
          <t>FC</t>
        </is>
      </c>
      <c r="C24" t="n">
        <v>79.46416666666664</v>
      </c>
      <c r="D24" t="n">
        <v>3076.379166666666</v>
      </c>
      <c r="E24" t="n">
        <v>852.6849999999998</v>
      </c>
      <c r="F24" t="n">
        <v>902.1901999999997</v>
      </c>
      <c r="G24" t="n">
        <v>501.7466666666666</v>
      </c>
      <c r="H24" t="n">
        <v>3461.577545833332</v>
      </c>
      <c r="I24" t="n">
        <v>1479.007124305555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ECHEVERRIA ARAMENDI, PEDRO</dc:creator>
  <dcterms:created xsi:type="dcterms:W3CDTF">2020-05-13T07:22:19Z</dcterms:created>
  <dcterms:modified xsi:type="dcterms:W3CDTF">2026-05-05T11:16:09Z</dcterms:modified>
</cp:coreProperties>
</file>