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38421514-5D15-45B4-8444-BCE9BD0FE4F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F5" i="1"/>
  <c r="G3" i="1"/>
  <c r="G4" i="1"/>
  <c r="G5" i="1"/>
  <c r="G2" i="1"/>
  <c r="F3" i="1"/>
  <c r="F4" i="1"/>
  <c r="F2" i="1"/>
  <c r="D3" i="1"/>
  <c r="D4" i="1"/>
  <c r="D5" i="1"/>
  <c r="D2" i="1"/>
  <c r="K39" i="1"/>
  <c r="K40" i="1"/>
  <c r="K41" i="1"/>
  <c r="K38" i="1"/>
  <c r="J39" i="1"/>
  <c r="J40" i="1"/>
  <c r="J41" i="1"/>
  <c r="J38" i="1"/>
  <c r="I41" i="1"/>
  <c r="H41" i="1"/>
  <c r="G41" i="1"/>
  <c r="H40" i="1"/>
  <c r="G40" i="1"/>
  <c r="H39" i="1"/>
  <c r="G39" i="1"/>
  <c r="H38" i="1"/>
  <c r="I38" i="1" s="1"/>
  <c r="G38" i="1"/>
  <c r="F17" i="1"/>
  <c r="F16" i="1"/>
  <c r="F15" i="1"/>
  <c r="F14" i="1"/>
  <c r="H14" i="1" s="1"/>
  <c r="E15" i="1"/>
  <c r="E16" i="1"/>
  <c r="E17" i="1"/>
  <c r="E14" i="1"/>
  <c r="R14" i="1" l="1"/>
  <c r="S14" i="1" s="1"/>
  <c r="M14" i="1"/>
  <c r="J14" i="1"/>
  <c r="K14" i="1" s="1"/>
  <c r="L14" i="1" s="1"/>
  <c r="R17" i="1"/>
  <c r="R16" i="1"/>
  <c r="R15" i="1"/>
  <c r="I15" i="1"/>
  <c r="J15" i="1" s="1"/>
  <c r="K15" i="1" s="1"/>
  <c r="H15" i="1"/>
  <c r="M15" i="1" s="1"/>
  <c r="I16" i="1"/>
  <c r="J16" i="1" s="1"/>
  <c r="K16" i="1" s="1"/>
  <c r="H16" i="1"/>
  <c r="M16" i="1" s="1"/>
  <c r="I17" i="1"/>
  <c r="J17" i="1" s="1"/>
  <c r="K17" i="1" s="1"/>
  <c r="H17" i="1"/>
  <c r="M17" i="1" s="1"/>
  <c r="I39" i="1"/>
  <c r="I40" i="1"/>
  <c r="L17" i="1" l="1"/>
  <c r="L16" i="1"/>
  <c r="L15" i="1"/>
  <c r="S15" i="1"/>
  <c r="S16" i="1"/>
  <c r="S17" i="1"/>
  <c r="L18" i="1"/>
  <c r="M18" i="1"/>
  <c r="S18" i="1"/>
  <c r="T18" i="1" l="1"/>
  <c r="N15" i="1"/>
  <c r="O15" i="1" s="1"/>
  <c r="P15" i="1" s="1"/>
  <c r="N16" i="1"/>
  <c r="O16" i="1" s="1"/>
  <c r="P16" i="1" s="1"/>
  <c r="N17" i="1"/>
  <c r="O17" i="1" s="1"/>
  <c r="P17" i="1" s="1"/>
  <c r="N14" i="1"/>
  <c r="O14" i="1" s="1"/>
  <c r="P14" i="1" s="1"/>
  <c r="P18" i="1" s="1"/>
</calcChain>
</file>

<file path=xl/sharedStrings.xml><?xml version="1.0" encoding="utf-8"?>
<sst xmlns="http://schemas.openxmlformats.org/spreadsheetml/2006/main" count="52" uniqueCount="49">
  <si>
    <t>BONO (Periodo)</t>
  </si>
  <si>
    <t>dcf 30/360</t>
  </si>
  <si>
    <t>(ZC Rc) (Interes compuesto</t>
  </si>
  <si>
    <t>D (DF o P(0,T))</t>
  </si>
  <si>
    <t>tau 30/360</t>
  </si>
  <si>
    <t>CUPON (CF) Bono 100 euros principal paga 6% anual con cupones semestrales</t>
  </si>
  <si>
    <t>(PV Flujo)</t>
  </si>
  <si>
    <t>EJEMPLO BONO</t>
  </si>
  <si>
    <t>TOTAL</t>
  </si>
  <si>
    <t>SWAP</t>
  </si>
  <si>
    <t>A (Periodo)</t>
  </si>
  <si>
    <t>B (Inicio)</t>
  </si>
  <si>
    <t>C (Fin)</t>
  </si>
  <si>
    <t>D (Días) ACTUAL</t>
  </si>
  <si>
    <t>Tau Act/360</t>
  </si>
  <si>
    <t>dcf (Actual/360)</t>
  </si>
  <si>
    <t>ZC</t>
  </si>
  <si>
    <t>DF o P(0,T)</t>
  </si>
  <si>
    <t>FORWARD continuamente compuesto</t>
  </si>
  <si>
    <t>Tipo interes simple (Euribor6M)</t>
  </si>
  <si>
    <t>CUPON (CF Flujo)</t>
  </si>
  <si>
    <t>(PV) Pata flotante</t>
  </si>
  <si>
    <t>Taui * DFi</t>
  </si>
  <si>
    <t>TIPO fijo K (Swap Rate) a la PAR</t>
  </si>
  <si>
    <t>Cupon TIpo fijo</t>
  </si>
  <si>
    <t>VP pata fija a la par</t>
  </si>
  <si>
    <t>TIPO fijo K (Swap Rate EJEMPLO) NO A la PAR</t>
  </si>
  <si>
    <t>CUPON tipo fijo</t>
  </si>
  <si>
    <t>VP pata fija</t>
  </si>
  <si>
    <t>DIFERENCIA VP PATA FIJA Y FLOTANTE. Valor SWAP</t>
  </si>
  <si>
    <t>BOOTSTRAPING</t>
  </si>
  <si>
    <t>A (Per.)</t>
  </si>
  <si>
    <t>B (Instrumento)</t>
  </si>
  <si>
    <t>C (Tasa Mercado)</t>
  </si>
  <si>
    <t>D (Inicio)</t>
  </si>
  <si>
    <t>E (Fin)</t>
  </si>
  <si>
    <t>F (Días)</t>
  </si>
  <si>
    <t>dcf (actual/360)</t>
  </si>
  <si>
    <t>Tipo 0 cupon Simple</t>
  </si>
  <si>
    <t>Tipo Cero cupon compuesto</t>
  </si>
  <si>
    <t>Hoy</t>
  </si>
  <si>
    <t>0-1</t>
  </si>
  <si>
    <t>Depo 6m</t>
  </si>
  <si>
    <t>1 a 2</t>
  </si>
  <si>
    <t>Swap 12m</t>
  </si>
  <si>
    <t>2 a 3</t>
  </si>
  <si>
    <t>Swap 18m</t>
  </si>
  <si>
    <t>3 a 4</t>
  </si>
  <si>
    <t>Swap 2y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</si>
</sst>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10">
    <xf numFmtId="0" fontId="0" fillId="0" borderId="0" xfId="0"/>
    <xf numFmtId="0" fontId="0" fillId="0" borderId="0" xfId="0" applyFill="1"/>
    <xf numFmtId="0" fontId="2" fillId="2" borderId="1" xfId="1" applyFont="1" applyAlignment="1">
      <alignment readingOrder="1"/>
    </xf>
    <xf numFmtId="0" fontId="2" fillId="2" borderId="1" xfId="1" applyFont="1" applyAlignment="1">
      <alignment wrapText="1" readingOrder="1"/>
    </xf>
    <xf numFmtId="14" fontId="3" fillId="2" borderId="1" xfId="1" applyNumberFormat="1" applyFont="1" applyAlignment="1">
      <alignment readingOrder="1"/>
    </xf>
    <xf numFmtId="0" fontId="3" fillId="2" borderId="1" xfId="1" applyFont="1" applyAlignment="1">
      <alignment readingOrder="1"/>
    </xf>
    <xf numFmtId="2" fontId="2" fillId="2" borderId="1" xfId="1" applyNumberFormat="1" applyFont="1" applyAlignment="1">
      <alignment readingOrder="1"/>
    </xf>
    <xf numFmtId="168" fontId="3" fillId="2" borderId="1" xfId="1" applyNumberFormat="1" applyFont="1" applyAlignment="1">
      <alignment readingOrder="1"/>
    </xf>
    <xf numFmtId="168" fontId="2" fillId="2" borderId="1" xfId="1" applyNumberFormat="1" applyFont="1" applyAlignment="1">
      <alignment readingOrder="1"/>
    </xf>
    <xf numFmtId="0" fontId="0" fillId="2" borderId="1" xfId="1" applyFont="1"/>
  </cellXfs>
  <cellStyles count="2">
    <cellStyle name="Normal" xfId="0" builtinId="0"/>
    <cellStyle name="Notas" xfId="1" builtinId="1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"/>
  <sheetViews>
    <sheetView tabSelected="1" workbookViewId="0">
      <selection activeCell="A22" sqref="A22:K31"/>
    </sheetView>
  </sheetViews>
  <sheetFormatPr defaultRowHeight="15"/>
  <cols>
    <col min="1" max="1" width="14.85546875" bestFit="1" customWidth="1"/>
    <col min="2" max="2" width="16.85546875" bestFit="1" customWidth="1"/>
    <col min="3" max="3" width="28.7109375" customWidth="1"/>
    <col min="4" max="4" width="17.7109375" bestFit="1" customWidth="1"/>
    <col min="5" max="5" width="25.42578125" customWidth="1"/>
    <col min="6" max="6" width="31.7109375" customWidth="1"/>
    <col min="7" max="7" width="22.7109375" customWidth="1"/>
    <col min="8" max="8" width="21.28515625" customWidth="1"/>
    <col min="9" max="9" width="35.85546875" customWidth="1"/>
    <col min="10" max="10" width="33" customWidth="1"/>
    <col min="11" max="11" width="28.85546875" customWidth="1"/>
    <col min="12" max="12" width="32.42578125" customWidth="1"/>
    <col min="13" max="13" width="16.7109375" customWidth="1"/>
    <col min="14" max="14" width="24.28515625" customWidth="1"/>
    <col min="15" max="15" width="14.140625" bestFit="1" customWidth="1"/>
    <col min="16" max="16" width="24.7109375" customWidth="1"/>
    <col min="17" max="17" width="36.5703125" bestFit="1" customWidth="1"/>
    <col min="18" max="18" width="19" customWidth="1"/>
    <col min="19" max="19" width="28.140625" customWidth="1"/>
    <col min="20" max="20" width="46.140625" customWidth="1"/>
    <col min="21" max="21" width="15" customWidth="1"/>
  </cols>
  <sheetData>
    <row r="1" spans="1:20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" t="s">
        <v>7</v>
      </c>
      <c r="I1" s="1"/>
      <c r="J1" s="1"/>
      <c r="K1" s="1"/>
      <c r="L1" s="1"/>
    </row>
    <row r="2" spans="1:20">
      <c r="A2" s="9">
        <v>1</v>
      </c>
      <c r="B2" s="9">
        <v>0.5</v>
      </c>
      <c r="C2" s="9">
        <v>0.05</v>
      </c>
      <c r="D2" s="9">
        <f xml:space="preserve"> EXP(-C2*B2)</f>
        <v>0.97530991202833262</v>
      </c>
      <c r="E2" s="9">
        <v>0.5</v>
      </c>
      <c r="F2" s="9">
        <f xml:space="preserve"> 100* 0.06*0.5</f>
        <v>3</v>
      </c>
      <c r="G2" s="9">
        <f xml:space="preserve"> F2*D2</f>
        <v>2.9259297360849978</v>
      </c>
      <c r="H2" s="1"/>
      <c r="I2" s="1"/>
      <c r="J2" s="1"/>
      <c r="K2" s="1"/>
      <c r="L2" s="1"/>
    </row>
    <row r="3" spans="1:20">
      <c r="A3" s="9">
        <v>2</v>
      </c>
      <c r="B3" s="9">
        <v>1</v>
      </c>
      <c r="C3" s="9">
        <v>5.8000000000000003E-2</v>
      </c>
      <c r="D3" s="9">
        <f t="shared" ref="D3:D5" si="0" xml:space="preserve"> EXP(-C3*B3)</f>
        <v>0.94364994743679853</v>
      </c>
      <c r="E3" s="9">
        <v>0.5</v>
      </c>
      <c r="F3" s="9">
        <f t="shared" ref="F3:F5" si="1" xml:space="preserve"> 100* 0.06*0.5</f>
        <v>3</v>
      </c>
      <c r="G3" s="9">
        <f t="shared" ref="G3:G5" si="2" xml:space="preserve"> F3*D3</f>
        <v>2.8309498423103956</v>
      </c>
      <c r="H3" s="1"/>
      <c r="I3" s="1"/>
      <c r="J3" s="1"/>
      <c r="K3" s="1"/>
      <c r="L3" s="1"/>
    </row>
    <row r="4" spans="1:20">
      <c r="A4" s="9">
        <v>3</v>
      </c>
      <c r="B4" s="9">
        <v>1.5</v>
      </c>
      <c r="C4" s="9">
        <v>6.4000000000000001E-2</v>
      </c>
      <c r="D4" s="9">
        <f t="shared" si="0"/>
        <v>0.90846401606870619</v>
      </c>
      <c r="E4" s="9">
        <v>0.5</v>
      </c>
      <c r="F4" s="9">
        <f t="shared" si="1"/>
        <v>3</v>
      </c>
      <c r="G4" s="9">
        <f t="shared" si="2"/>
        <v>2.7253920482061185</v>
      </c>
      <c r="H4" s="1"/>
      <c r="I4" s="1"/>
      <c r="J4" s="1"/>
      <c r="K4" s="1"/>
      <c r="L4" s="1"/>
    </row>
    <row r="5" spans="1:20">
      <c r="A5" s="9">
        <v>4</v>
      </c>
      <c r="B5" s="9">
        <v>2</v>
      </c>
      <c r="C5" s="9">
        <v>6.8000000000000005E-2</v>
      </c>
      <c r="D5" s="9">
        <f t="shared" si="0"/>
        <v>0.87284263248871929</v>
      </c>
      <c r="E5" s="9">
        <v>0.5</v>
      </c>
      <c r="F5" s="9">
        <f xml:space="preserve"> (100* 0.06*0.5) + 100</f>
        <v>103</v>
      </c>
      <c r="G5" s="9">
        <f t="shared" si="2"/>
        <v>89.902791146338089</v>
      </c>
      <c r="H5" s="1"/>
      <c r="I5" s="1"/>
      <c r="J5" s="1"/>
      <c r="K5" s="1"/>
      <c r="L5" s="1"/>
    </row>
    <row r="6" spans="1:20">
      <c r="A6" s="9" t="s">
        <v>8</v>
      </c>
      <c r="B6" s="9"/>
      <c r="C6" s="9"/>
      <c r="D6" s="9"/>
      <c r="E6" s="9"/>
      <c r="F6" s="9"/>
      <c r="G6" s="9">
        <f>SUM(G2:G5)</f>
        <v>98.385062772939605</v>
      </c>
      <c r="H6" s="1"/>
      <c r="I6" s="1"/>
      <c r="J6" s="1"/>
      <c r="K6" s="1"/>
      <c r="L6" s="1"/>
    </row>
    <row r="7" spans="1:20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12" spans="1:20">
      <c r="A12" t="s">
        <v>9</v>
      </c>
    </row>
    <row r="13" spans="1:20">
      <c r="A13" s="9" t="s">
        <v>10</v>
      </c>
      <c r="B13" s="9" t="s">
        <v>11</v>
      </c>
      <c r="C13" s="9" t="s">
        <v>12</v>
      </c>
      <c r="D13" s="9" t="s">
        <v>13</v>
      </c>
      <c r="E13" s="9" t="s">
        <v>14</v>
      </c>
      <c r="F13" s="9" t="s">
        <v>15</v>
      </c>
      <c r="G13" s="9" t="s">
        <v>16</v>
      </c>
      <c r="H13" s="9" t="s">
        <v>17</v>
      </c>
      <c r="I13" s="9" t="s">
        <v>18</v>
      </c>
      <c r="J13" s="9" t="s">
        <v>19</v>
      </c>
      <c r="K13" s="9" t="s">
        <v>20</v>
      </c>
      <c r="L13" s="9" t="s">
        <v>21</v>
      </c>
      <c r="M13" s="9" t="s">
        <v>22</v>
      </c>
      <c r="N13" s="9" t="s">
        <v>23</v>
      </c>
      <c r="O13" s="9" t="s">
        <v>24</v>
      </c>
      <c r="P13" s="9" t="s">
        <v>25</v>
      </c>
      <c r="Q13" s="9" t="s">
        <v>26</v>
      </c>
      <c r="R13" s="9" t="s">
        <v>27</v>
      </c>
      <c r="S13" s="9" t="s">
        <v>28</v>
      </c>
      <c r="T13" s="9" t="s">
        <v>29</v>
      </c>
    </row>
    <row r="14" spans="1:20">
      <c r="A14" s="9">
        <v>1</v>
      </c>
      <c r="B14" s="9">
        <v>42461</v>
      </c>
      <c r="C14" s="9">
        <v>42646</v>
      </c>
      <c r="D14" s="9">
        <v>185</v>
      </c>
      <c r="E14" s="9">
        <f>D14/360</f>
        <v>0.51388888888888884</v>
      </c>
      <c r="F14" s="9">
        <f>D14/360</f>
        <v>0.51388888888888884</v>
      </c>
      <c r="G14" s="9">
        <v>4.7399999999999998E-2</v>
      </c>
      <c r="H14" s="9">
        <f xml:space="preserve"> EXP(-G14*F14)</f>
        <v>0.97593593671665857</v>
      </c>
      <c r="I14" s="9">
        <v>4.7399999999999998E-2</v>
      </c>
      <c r="J14" s="9">
        <f xml:space="preserve"> (EXP(I14*E14) - 1)/E14</f>
        <v>4.7982008477673463E-2</v>
      </c>
      <c r="K14" s="9">
        <f xml:space="preserve"> 100000000 * (J14*E14)</f>
        <v>2465742.1023248858</v>
      </c>
      <c r="L14" s="9">
        <f xml:space="preserve"> K14*H14</f>
        <v>2406406.3283341406</v>
      </c>
      <c r="M14" s="9">
        <f>E14*H14</f>
        <v>0.50152263414606058</v>
      </c>
      <c r="N14" s="9">
        <f xml:space="preserve"> L$18/(100000000*M$18)</f>
        <v>5.2613004929362356E-2</v>
      </c>
      <c r="O14" s="9">
        <f xml:space="preserve"> 100000000*N14*E14</f>
        <v>2703723.8644255656</v>
      </c>
      <c r="P14" s="9">
        <f>O14*H14</f>
        <v>2638661.2822513483</v>
      </c>
      <c r="Q14" s="9">
        <v>0.05</v>
      </c>
      <c r="R14" s="9">
        <f xml:space="preserve"> 100000000*Q14*E14</f>
        <v>2569444.444444444</v>
      </c>
      <c r="S14" s="9">
        <f>R14*H14</f>
        <v>2507613.170730303</v>
      </c>
      <c r="T14" s="9"/>
    </row>
    <row r="15" spans="1:20">
      <c r="A15" s="9">
        <v>2</v>
      </c>
      <c r="B15" s="9">
        <v>42646</v>
      </c>
      <c r="C15" s="9">
        <v>42828</v>
      </c>
      <c r="D15" s="9">
        <v>182</v>
      </c>
      <c r="E15" s="9">
        <f t="shared" ref="E15:E17" si="3">D15/360</f>
        <v>0.50555555555555554</v>
      </c>
      <c r="F15" s="9">
        <f xml:space="preserve"> (D14+D15)/360</f>
        <v>1.0194444444444444</v>
      </c>
      <c r="G15" s="9">
        <v>0.05</v>
      </c>
      <c r="H15" s="9">
        <f t="shared" ref="H15:H17" si="4" xml:space="preserve"> EXP(-G15*F15)</f>
        <v>0.95030506752878718</v>
      </c>
      <c r="I15" s="9">
        <f xml:space="preserve"> (G15*F15 - G14*F14)/(F15-F14)</f>
        <v>5.2642857142857158E-2</v>
      </c>
      <c r="J15" s="9">
        <f xml:space="preserve"> (EXP(I15* (F15-F14))-1)/E15</f>
        <v>5.3349628768427165E-2</v>
      </c>
      <c r="K15" s="9">
        <f xml:space="preserve"> 100000000 * (J15*E15)</f>
        <v>2697120.1210704842</v>
      </c>
      <c r="L15" s="9">
        <f xml:space="preserve"> K15*H15</f>
        <v>2563086.9187871371</v>
      </c>
      <c r="M15" s="9">
        <f t="shared" ref="M15:M17" si="5">E15*H15</f>
        <v>0.48043200636177574</v>
      </c>
      <c r="N15" s="9">
        <f t="shared" ref="N15:N17" si="6" xml:space="preserve"> L$18/(100000000*M$18)</f>
        <v>5.2613004929362356E-2</v>
      </c>
      <c r="O15" s="9">
        <f xml:space="preserve"> 100000000*N15*E15</f>
        <v>2659879.6936510969</v>
      </c>
      <c r="P15" s="9">
        <f>O15*H15</f>
        <v>2527697.1518935552</v>
      </c>
      <c r="Q15" s="9">
        <v>0.05</v>
      </c>
      <c r="R15" s="9">
        <f xml:space="preserve"> 100000000*Q15*E15</f>
        <v>2527777.7777777775</v>
      </c>
      <c r="S15" s="9">
        <f>R15*H15</f>
        <v>2402160.0318088783</v>
      </c>
      <c r="T15" s="9"/>
    </row>
    <row r="16" spans="1:20">
      <c r="A16" s="9">
        <v>3</v>
      </c>
      <c r="B16" s="9">
        <v>42828</v>
      </c>
      <c r="C16" s="9">
        <v>43010</v>
      </c>
      <c r="D16" s="9">
        <v>182</v>
      </c>
      <c r="E16" s="9">
        <f t="shared" si="3"/>
        <v>0.50555555555555554</v>
      </c>
      <c r="F16" s="9">
        <f xml:space="preserve"> (D14+D15+D16)/360</f>
        <v>1.5249999999999999</v>
      </c>
      <c r="G16" s="9">
        <v>5.0999999999999997E-2</v>
      </c>
      <c r="H16" s="9">
        <f t="shared" si="4"/>
        <v>0.92517256695442973</v>
      </c>
      <c r="I16" s="9">
        <f t="shared" ref="I16:I17" si="7" xml:space="preserve"> (G16*F16 - G15*F15)/(F16-F15)</f>
        <v>5.3016483516483505E-2</v>
      </c>
      <c r="J16" s="9">
        <f xml:space="preserve"> (EXP(I16* (F16-F15))-1)/E16</f>
        <v>5.3733368535102521E-2</v>
      </c>
      <c r="K16" s="9">
        <f xml:space="preserve"> 100000000 * (J16*E16)</f>
        <v>2716520.298163516</v>
      </c>
      <c r="L16" s="9">
        <f xml:space="preserve"> K16*H16</f>
        <v>2513250.0574357528</v>
      </c>
      <c r="M16" s="9">
        <f t="shared" si="5"/>
        <v>0.46772613107140615</v>
      </c>
      <c r="N16" s="9">
        <f t="shared" si="6"/>
        <v>5.2613004929362356E-2</v>
      </c>
      <c r="O16" s="9">
        <f xml:space="preserve"> 100000000*N16*E16</f>
        <v>2659879.6936510969</v>
      </c>
      <c r="P16" s="9">
        <f>O16*H16</f>
        <v>2460847.7239651475</v>
      </c>
      <c r="Q16" s="9">
        <v>0.05</v>
      </c>
      <c r="R16" s="9">
        <f xml:space="preserve"> 100000000*Q16*E16</f>
        <v>2527777.7777777775</v>
      </c>
      <c r="S16" s="9">
        <f>R16*H16</f>
        <v>2338630.6553570307</v>
      </c>
      <c r="T16" s="9"/>
    </row>
    <row r="17" spans="1:20">
      <c r="A17" s="9">
        <v>4</v>
      </c>
      <c r="B17" s="9">
        <v>43010</v>
      </c>
      <c r="C17" s="9">
        <v>43192</v>
      </c>
      <c r="D17" s="9">
        <v>182</v>
      </c>
      <c r="E17" s="9">
        <f t="shared" si="3"/>
        <v>0.50555555555555554</v>
      </c>
      <c r="F17" s="9">
        <f xml:space="preserve"> (D14+D15+D16+D17)/360</f>
        <v>2.0305555555555554</v>
      </c>
      <c r="G17" s="9">
        <v>5.1999999999999998E-2</v>
      </c>
      <c r="H17" s="9">
        <f t="shared" si="4"/>
        <v>0.89979448755970692</v>
      </c>
      <c r="I17" s="9">
        <f t="shared" si="7"/>
        <v>5.5016483516483514E-2</v>
      </c>
      <c r="J17" s="9">
        <f xml:space="preserve"> (EXP(I17* (F17-F16))-1)/E17</f>
        <v>5.5788737869343075E-2</v>
      </c>
      <c r="K17" s="9">
        <f xml:space="preserve"> 100000000 * (J17*E17)</f>
        <v>2820430.6367278998</v>
      </c>
      <c r="L17" s="9">
        <f xml:space="preserve"> K17*H17</f>
        <v>2537807.9394722786</v>
      </c>
      <c r="M17" s="9">
        <f t="shared" si="5"/>
        <v>0.45489610204407405</v>
      </c>
      <c r="N17" s="9">
        <f t="shared" si="6"/>
        <v>5.2613004929362356E-2</v>
      </c>
      <c r="O17" s="9">
        <f xml:space="preserve"> 100000000*N17*E17</f>
        <v>2659879.6936510969</v>
      </c>
      <c r="P17" s="9">
        <f>O17*H17</f>
        <v>2393345.0859192591</v>
      </c>
      <c r="Q17" s="9">
        <v>0.05</v>
      </c>
      <c r="R17" s="9">
        <f xml:space="preserve"> 100000000*Q17*E17</f>
        <v>2527777.7777777775</v>
      </c>
      <c r="S17" s="9">
        <f>R17*H17</f>
        <v>2274480.5102203703</v>
      </c>
      <c r="T17" s="9"/>
    </row>
    <row r="18" spans="1:20">
      <c r="A18" s="9" t="s">
        <v>8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>
        <f>SUM(L14:L17)</f>
        <v>10020551.24402931</v>
      </c>
      <c r="M18" s="9">
        <f>SUM(M14:M17)</f>
        <v>1.9045768736233166</v>
      </c>
      <c r="N18" s="9"/>
      <c r="O18" s="9"/>
      <c r="P18" s="9">
        <f>SUM(P14:P17)</f>
        <v>10020551.24402931</v>
      </c>
      <c r="Q18" s="9"/>
      <c r="R18" s="9"/>
      <c r="S18" s="9">
        <f>SUM(S14:S17)</f>
        <v>9522884.3681165837</v>
      </c>
      <c r="T18" s="9">
        <f xml:space="preserve"> L18 -S18</f>
        <v>497666.87591272593</v>
      </c>
    </row>
    <row r="22" spans="1:20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20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20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20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2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20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20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20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2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2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5" spans="1:11">
      <c r="A35" t="s">
        <v>30</v>
      </c>
    </row>
    <row r="36" spans="1:11" ht="33">
      <c r="A36" s="2" t="s">
        <v>31</v>
      </c>
      <c r="B36" s="2" t="s">
        <v>32</v>
      </c>
      <c r="C36" s="2" t="s">
        <v>33</v>
      </c>
      <c r="D36" s="2" t="s">
        <v>34</v>
      </c>
      <c r="E36" s="2" t="s">
        <v>35</v>
      </c>
      <c r="F36" s="2" t="s">
        <v>36</v>
      </c>
      <c r="G36" s="2" t="s">
        <v>14</v>
      </c>
      <c r="H36" s="2" t="s">
        <v>37</v>
      </c>
      <c r="I36" s="2" t="s">
        <v>17</v>
      </c>
      <c r="J36" s="2" t="s">
        <v>38</v>
      </c>
      <c r="K36" s="3" t="s">
        <v>39</v>
      </c>
    </row>
    <row r="37" spans="1:11">
      <c r="A37" s="6"/>
      <c r="B37" s="5" t="s">
        <v>40</v>
      </c>
      <c r="C37" s="5"/>
      <c r="D37" s="5"/>
      <c r="E37" s="4">
        <v>42461</v>
      </c>
      <c r="F37" s="7"/>
      <c r="G37" s="7"/>
      <c r="H37" s="7"/>
      <c r="I37" s="7"/>
      <c r="J37" s="8"/>
      <c r="K37" s="7"/>
    </row>
    <row r="38" spans="1:11">
      <c r="A38" s="6" t="s">
        <v>41</v>
      </c>
      <c r="B38" s="5" t="s">
        <v>42</v>
      </c>
      <c r="C38" s="5">
        <v>0.05</v>
      </c>
      <c r="D38" s="4">
        <v>42461</v>
      </c>
      <c r="E38" s="4">
        <v>42646</v>
      </c>
      <c r="F38" s="7">
        <v>185</v>
      </c>
      <c r="G38" s="7">
        <f>F38/360</f>
        <v>0.51388888888888884</v>
      </c>
      <c r="H38" s="7">
        <f>F38/360</f>
        <v>0.51388888888888884</v>
      </c>
      <c r="I38" s="7">
        <f xml:space="preserve"> 1/(1 + C38*H38)</f>
        <v>0.97494922139471896</v>
      </c>
      <c r="J38" s="8">
        <f xml:space="preserve"> ((1/I38) - 1)/H38</f>
        <v>5.0000000000000044E-2</v>
      </c>
      <c r="K38" s="7">
        <f xml:space="preserve"> - LN(I38)/H38</f>
        <v>4.9368434519351814E-2</v>
      </c>
    </row>
    <row r="39" spans="1:11">
      <c r="A39" s="6" t="s">
        <v>43</v>
      </c>
      <c r="B39" s="5" t="s">
        <v>44</v>
      </c>
      <c r="C39" s="5">
        <v>5.5E-2</v>
      </c>
      <c r="D39" s="4">
        <v>42646</v>
      </c>
      <c r="E39" s="4">
        <v>42828</v>
      </c>
      <c r="F39" s="7">
        <v>182</v>
      </c>
      <c r="G39" s="7">
        <f t="shared" ref="G39:G41" si="8">F39/360</f>
        <v>0.50555555555555554</v>
      </c>
      <c r="H39" s="7">
        <f xml:space="preserve"> (F38+F39)/360</f>
        <v>1.0194444444444444</v>
      </c>
      <c r="I39" s="7">
        <f xml:space="preserve"> (1 - (C39*G38*I38)) / (1 + C39*G39)</f>
        <v>0.94613629813331723</v>
      </c>
      <c r="J39" s="8">
        <f t="shared" ref="J39:J41" si="9" xml:space="preserve"> ((1/I39) - 1)/H39</f>
        <v>5.5844310075407716E-2</v>
      </c>
      <c r="K39" s="7">
        <f t="shared" ref="K39:K41" si="10" xml:space="preserve"> - LN(I39)/H39</f>
        <v>5.4312564304271067E-2</v>
      </c>
    </row>
    <row r="40" spans="1:11">
      <c r="A40" s="6" t="s">
        <v>45</v>
      </c>
      <c r="B40" s="5" t="s">
        <v>46</v>
      </c>
      <c r="C40" s="5">
        <v>0.06</v>
      </c>
      <c r="D40" s="4">
        <v>42828</v>
      </c>
      <c r="E40" s="4">
        <v>43010</v>
      </c>
      <c r="F40" s="7">
        <v>182</v>
      </c>
      <c r="G40" s="7">
        <f t="shared" si="8"/>
        <v>0.50555555555555554</v>
      </c>
      <c r="H40" s="7">
        <f xml:space="preserve"> (F38+F39+F40)/360</f>
        <v>1.5249999999999999</v>
      </c>
      <c r="I40" s="7">
        <f xml:space="preserve"> (1 - (C40*G38*I38 + C40*G39*I39))/ (1 + C40*G40)</f>
        <v>0.91352921187022218</v>
      </c>
      <c r="J40" s="8">
        <f t="shared" si="9"/>
        <v>6.2069340984280602E-2</v>
      </c>
      <c r="K40" s="7">
        <f t="shared" si="10"/>
        <v>5.9304869318846834E-2</v>
      </c>
    </row>
    <row r="41" spans="1:11">
      <c r="A41" s="6" t="s">
        <v>47</v>
      </c>
      <c r="B41" s="5" t="s">
        <v>48</v>
      </c>
      <c r="C41" s="5">
        <v>6.4000000000000001E-2</v>
      </c>
      <c r="D41" s="4">
        <v>43010</v>
      </c>
      <c r="E41" s="4">
        <v>43192</v>
      </c>
      <c r="F41" s="7">
        <v>182</v>
      </c>
      <c r="G41" s="7">
        <f t="shared" si="8"/>
        <v>0.50555555555555554</v>
      </c>
      <c r="H41" s="7">
        <f xml:space="preserve"> (F38+F39+F40+F41)/360</f>
        <v>2.0305555555555554</v>
      </c>
      <c r="I41" s="7">
        <f xml:space="preserve"> (1 - (C41*G38*I38 + C41*G39*I39 + C41*G40*I40)) / (1 + C41*G41)</f>
        <v>0.87931380596199993</v>
      </c>
      <c r="J41" s="8">
        <f t="shared" si="9"/>
        <v>6.7592548821998055E-2</v>
      </c>
      <c r="K41" s="7">
        <f t="shared" si="10"/>
        <v>6.3339041025436832E-2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2026-03-07T18:19:29Z</dcterms:created>
  <dcterms:modified xsi:type="dcterms:W3CDTF">2026-03-08T01:37:30Z</dcterms:modified>
  <cp:category/>
  <cp:contentStatus/>
</cp:coreProperties>
</file>